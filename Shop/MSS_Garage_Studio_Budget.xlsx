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b129d21d1734229/Documents/Claude/Shop/"/>
    </mc:Choice>
  </mc:AlternateContent>
  <xr:revisionPtr revIDLastSave="490" documentId="11_09570CFE29ECDA9C4BE81FEF5C98E098F6CEC8AF" xr6:coauthVersionLast="47" xr6:coauthVersionMax="47" xr10:uidLastSave="{BA3FC4BD-B465-43C4-8219-49ACA8E75421}"/>
  <bookViews>
    <workbookView xWindow="-110" yWindow="-110" windowWidth="25820" windowHeight="15500" activeTab="4" xr2:uid="{00000000-000D-0000-FFFF-FFFF00000000}"/>
  </bookViews>
  <sheets>
    <sheet name="list" sheetId="5" r:id="rId1"/>
    <sheet name="pivot" sheetId="4" state="hidden" r:id="rId2"/>
    <sheet name="Budget" sheetId="3" r:id="rId3"/>
    <sheet name="Materials &amp; Budget" sheetId="1" state="hidden" r:id="rId4"/>
    <sheet name="Wall Calculations" sheetId="2" r:id="rId5"/>
  </sheets>
  <definedNames>
    <definedName name="_xlnm._FilterDatabase" localSheetId="2" hidden="1">Budget!$A$4:$I$18</definedName>
    <definedName name="_xlnm._FilterDatabase" localSheetId="3" hidden="1">'Materials &amp; Budget'!$A$4:$J$26</definedName>
  </definedNames>
  <calcPr calcId="191029"/>
  <pivotCaches>
    <pivotCache cacheId="2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" l="1"/>
  <c r="J7" i="3"/>
  <c r="J8" i="3"/>
  <c r="J9" i="3"/>
  <c r="J10" i="3"/>
  <c r="J11" i="3"/>
  <c r="J12" i="3"/>
  <c r="J13" i="3"/>
  <c r="J14" i="3"/>
  <c r="J15" i="3"/>
  <c r="J16" i="3"/>
  <c r="J17" i="3"/>
  <c r="J18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G8" i="3"/>
  <c r="I8" i="3" s="1"/>
  <c r="G9" i="3"/>
  <c r="I9" i="3" s="1"/>
  <c r="G10" i="3"/>
  <c r="I10" i="3" s="1"/>
  <c r="G11" i="3"/>
  <c r="I11" i="3" s="1"/>
  <c r="G12" i="3"/>
  <c r="I12" i="3" s="1"/>
  <c r="G13" i="3"/>
  <c r="I13" i="3" s="1"/>
  <c r="G14" i="3"/>
  <c r="I14" i="3" s="1"/>
  <c r="G15" i="3"/>
  <c r="I15" i="3" s="1"/>
  <c r="G16" i="3"/>
  <c r="I16" i="3" s="1"/>
  <c r="G17" i="3"/>
  <c r="I17" i="3" s="1"/>
  <c r="G18" i="3"/>
  <c r="I18" i="3" s="1"/>
  <c r="K29" i="3" s="1"/>
  <c r="G6" i="3"/>
  <c r="I6" i="3" s="1"/>
  <c r="G7" i="3"/>
  <c r="I7" i="3" s="1"/>
  <c r="J5" i="3"/>
  <c r="G5" i="3"/>
  <c r="I5" i="3" s="1"/>
  <c r="K5" i="3"/>
  <c r="J12" i="1"/>
  <c r="I12" i="1"/>
  <c r="F12" i="1"/>
  <c r="H12" i="1" s="1"/>
  <c r="F17" i="1"/>
  <c r="H17" i="1" s="1"/>
  <c r="I25" i="1"/>
  <c r="I24" i="1"/>
  <c r="I23" i="1"/>
  <c r="I22" i="1"/>
  <c r="I21" i="1"/>
  <c r="I19" i="1"/>
  <c r="I17" i="1"/>
  <c r="I15" i="1"/>
  <c r="I13" i="1"/>
  <c r="I11" i="1"/>
  <c r="I9" i="1"/>
  <c r="I8" i="1"/>
  <c r="I6" i="1"/>
  <c r="J23" i="1"/>
  <c r="J24" i="1"/>
  <c r="J25" i="1"/>
  <c r="J22" i="1"/>
  <c r="J21" i="1"/>
  <c r="J19" i="1"/>
  <c r="J17" i="1"/>
  <c r="J15" i="1"/>
  <c r="J13" i="1"/>
  <c r="J11" i="1"/>
  <c r="J9" i="1"/>
  <c r="J8" i="1"/>
  <c r="B21" i="2"/>
  <c r="C21" i="2" s="1"/>
  <c r="B20" i="2"/>
  <c r="C20" i="2" s="1"/>
  <c r="B19" i="2"/>
  <c r="C19" i="2" s="1"/>
  <c r="B11" i="2"/>
  <c r="C11" i="2" s="1"/>
  <c r="C7" i="2"/>
  <c r="B7" i="2"/>
  <c r="B13" i="2" s="1"/>
  <c r="F25" i="1"/>
  <c r="H25" i="1" s="1"/>
  <c r="H24" i="1"/>
  <c r="F23" i="1"/>
  <c r="H23" i="1" s="1"/>
  <c r="H22" i="1"/>
  <c r="H21" i="1"/>
  <c r="F19" i="1"/>
  <c r="H19" i="1" s="1"/>
  <c r="F15" i="1"/>
  <c r="H15" i="1" s="1"/>
  <c r="F13" i="1"/>
  <c r="H13" i="1" s="1"/>
  <c r="F11" i="1"/>
  <c r="H11" i="1" s="1"/>
  <c r="F9" i="1"/>
  <c r="H9" i="1" s="1"/>
  <c r="F8" i="1"/>
  <c r="H8" i="1" s="1"/>
  <c r="K30" i="3" l="1"/>
  <c r="K31" i="3"/>
  <c r="K32" i="3" s="1"/>
  <c r="J20" i="3"/>
  <c r="I20" i="3"/>
  <c r="I26" i="1"/>
  <c r="H30" i="1" s="1"/>
  <c r="B15" i="2"/>
  <c r="C13" i="2"/>
  <c r="K20" i="3" l="1"/>
  <c r="K23" i="3" s="1"/>
  <c r="K24" i="3"/>
  <c r="B16" i="2"/>
  <c r="C15" i="2"/>
  <c r="K25" i="3" l="1"/>
  <c r="C16" i="2"/>
  <c r="D6" i="1"/>
  <c r="F6" i="1" l="1"/>
  <c r="H6" i="1" s="1"/>
  <c r="H26" i="1" s="1"/>
  <c r="J6" i="1"/>
  <c r="J26" i="1" l="1"/>
  <c r="H31" i="1"/>
  <c r="H29" i="1"/>
</calcChain>
</file>

<file path=xl/sharedStrings.xml><?xml version="1.0" encoding="utf-8"?>
<sst xmlns="http://schemas.openxmlformats.org/spreadsheetml/2006/main" count="224" uniqueCount="104">
  <si>
    <t>🪵  MSS GARAGE STUDIO — Materials &amp; Budget Tracker</t>
  </si>
  <si>
    <t>Woodworking Studio Wall Build  |  19 ft × 9.5 ft  |  Midwest U.S. Pricing  |  Updated: March 2026</t>
  </si>
  <si>
    <t>ITEM</t>
  </si>
  <si>
    <t>SUPPLIER</t>
  </si>
  <si>
    <t>REQUIRED
QTY</t>
  </si>
  <si>
    <t>ON HAND
QTY</t>
  </si>
  <si>
    <t>TO PURCHASE
(formula)</t>
  </si>
  <si>
    <t>UNIT
COST</t>
  </si>
  <si>
    <t>AMOUNT
SPENT</t>
  </si>
  <si>
    <t>— WALL FINISH —</t>
  </si>
  <si>
    <t>Lauan Plywood 4×8 (Wall Panels)</t>
  </si>
  <si>
    <t>Lowes / Home Depot</t>
  </si>
  <si>
    <t>— FLOATING WORKBENCH —</t>
  </si>
  <si>
    <t>Floating Worktop Brackets (Heavy Duty)</t>
  </si>
  <si>
    <t>Amazon</t>
  </si>
  <si>
    <t>Lowes</t>
  </si>
  <si>
    <t>— FLOATING SHELF —</t>
  </si>
  <si>
    <t>Floating Shelf Brackets (16" Depth)</t>
  </si>
  <si>
    <t>LED Lights (Under-Shelf Strip)</t>
  </si>
  <si>
    <t>— BIN STORAGE (15 BINS) —</t>
  </si>
  <si>
    <t>5-Gallon Storage Bin + Yellow Lid</t>
  </si>
  <si>
    <t>— PEGBOARD —</t>
  </si>
  <si>
    <t>Wall Control Metal Pegboard Kit (2-pack)</t>
  </si>
  <si>
    <t>Wall Control</t>
  </si>
  <si>
    <t>— LUMBER STORAGE —</t>
  </si>
  <si>
    <t>Lumber Rack Brackets (Heavy-Duty Steel)</t>
  </si>
  <si>
    <t>Bora / Bora Portamate</t>
  </si>
  <si>
    <t>— FINISH &amp; HARDWARE —</t>
  </si>
  <si>
    <t>Hardwood Penetrating Oil Finish (quart)</t>
  </si>
  <si>
    <t>Woodcraft / Amazon</t>
  </si>
  <si>
    <t>Lag Bolts + Wall Anchors Assortment</t>
  </si>
  <si>
    <t>Wood Screws Assortment (coarse + fine)</t>
  </si>
  <si>
    <t>Sandpaper Pack (80/120/220 grit)</t>
  </si>
  <si>
    <t>Construction Adhesive (Liquid Nails)</t>
  </si>
  <si>
    <t>TOTAL PROJECT ESTIMATE</t>
  </si>
  <si>
    <t>Total Cost:</t>
  </si>
  <si>
    <t xml:space="preserve">  PROJECT FINANCIAL SUMMARY</t>
  </si>
  <si>
    <t>Total Estimated Project Cost</t>
  </si>
  <si>
    <t>Total Amount Spent</t>
  </si>
  <si>
    <t>Amount Left to Spend</t>
  </si>
  <si>
    <t xml:space="preserve">  KEY:  🟡 Yellow (Amount Spent) = enter manually as you purchase items  |  🟢 Green text = auto-calculated formulas  |  Qty from 'Wall Calculations' sheet updates automatically</t>
  </si>
  <si>
    <t>🔨  WALL CALCULATIONS — MSS Garage Studio Build</t>
  </si>
  <si>
    <t>Lauan Plywood Sheet Estimator  |  9.5 ft × 19 ft wall  |  4×8 sheets, vertical grain, 10% waste</t>
  </si>
  <si>
    <t>Parameter</t>
  </si>
  <si>
    <t>Value</t>
  </si>
  <si>
    <t>Calculated</t>
  </si>
  <si>
    <t>Notes</t>
  </si>
  <si>
    <t xml:space="preserve">  ▸  WALL DIMENSIONS</t>
  </si>
  <si>
    <t>Wall Height (ft)</t>
  </si>
  <si>
    <t>Measured ceiling to floor</t>
  </si>
  <si>
    <t>Wall Length (ft)</t>
  </si>
  <si>
    <t>Full wall span</t>
  </si>
  <si>
    <t>Wall Area (sq ft)</t>
  </si>
  <si>
    <t>Height × Length</t>
  </si>
  <si>
    <t xml:space="preserve">  ▸  SHEET DIMENSIONS (4×8 Lauan, Vertical Grain)</t>
  </si>
  <si>
    <t>Sheet Width (ft)</t>
  </si>
  <si>
    <t>Standard 4 ft width</t>
  </si>
  <si>
    <t>Sheet Height (ft)</t>
  </si>
  <si>
    <t>Standard 8 ft height</t>
  </si>
  <si>
    <t>Sheet Area (sq ft)</t>
  </si>
  <si>
    <t>4 × 8 = 32 sq ft</t>
  </si>
  <si>
    <t xml:space="preserve">  ▸  SHEET COUNT CALCULATION</t>
  </si>
  <si>
    <t>Raw Sheet Count (decimal)</t>
  </si>
  <si>
    <t>Wall Area ÷ Sheet Area</t>
  </si>
  <si>
    <t>Waste Factor</t>
  </si>
  <si>
    <t>10% added for cuts &amp; waste</t>
  </si>
  <si>
    <t>Sheet Count with Waste</t>
  </si>
  <si>
    <t>Raw × (1 + Waste Factor)</t>
  </si>
  <si>
    <t>⟹  FINAL SHEET QTY (order this)</t>
  </si>
  <si>
    <t>Rounded UP to nearest whole sheet</t>
  </si>
  <si>
    <t xml:space="preserve">  ▸  LAYOUT NOTES</t>
  </si>
  <si>
    <t>Sheets per full-height row (8 ft covers 8 of 9.5 ft)</t>
  </si>
  <si>
    <t>Sheets needed across wall width</t>
  </si>
  <si>
    <t>Height rows needed</t>
  </si>
  <si>
    <t>Full rows of 8-ft sheets (rounds up)</t>
  </si>
  <si>
    <t>Top gap to fill (ft)</t>
  </si>
  <si>
    <t>Remaining height after full sheets</t>
  </si>
  <si>
    <t>BUDGET</t>
  </si>
  <si>
    <t>REMAINING COST</t>
  </si>
  <si>
    <t xml:space="preserve">3/4" Hardwood Plywood 4×8 (shelf single) </t>
  </si>
  <si>
    <t>3/4"  Plywood 4×8 (Bench top lamination)</t>
  </si>
  <si>
    <t>walls</t>
  </si>
  <si>
    <t>bench</t>
  </si>
  <si>
    <t>shelf</t>
  </si>
  <si>
    <t>storage</t>
  </si>
  <si>
    <t>finish &amp; hardware</t>
  </si>
  <si>
    <t xml:space="preserve">Bora </t>
  </si>
  <si>
    <t>TO PURCHASE</t>
  </si>
  <si>
    <t>AREA</t>
  </si>
  <si>
    <t>🪵  YSHD WW STUDIO — Materials &amp; Budget Tracker</t>
  </si>
  <si>
    <t>Woodworking Studio Wall Build  |  19 ft × 9.5 ft  |  Updated: March 2026</t>
  </si>
  <si>
    <t>finish &amp; hrdwr</t>
  </si>
  <si>
    <t>REM COST</t>
  </si>
  <si>
    <t xml:space="preserve">3/4"  Plywood 4×8 (shelf single) </t>
  </si>
  <si>
    <t>Phase</t>
  </si>
  <si>
    <t>Column Labels</t>
  </si>
  <si>
    <t>Grand Total</t>
  </si>
  <si>
    <t>Row Labels</t>
  </si>
  <si>
    <t>Sum of REM COST</t>
  </si>
  <si>
    <t>SPENT</t>
  </si>
  <si>
    <t>1/8" hardboard</t>
  </si>
  <si>
    <t>Laminate, grey</t>
  </si>
  <si>
    <t>quan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</si>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</sst>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color rgb="FFC8A96E"/>
      <name val="Calibri"/>
      <family val="2"/>
    </font>
    <font>
      <b/>
      <sz val="10"/>
      <color rgb="FFFFFFFF"/>
      <name val="Calibri"/>
      <family val="2"/>
    </font>
    <font>
      <sz val="10"/>
      <color rgb="FF3D3D3D"/>
      <name val="Calibri"/>
      <family val="2"/>
    </font>
    <font>
      <b/>
      <sz val="10"/>
      <color rgb="FF3D3D3D"/>
      <name val="Calibri"/>
      <family val="2"/>
    </font>
    <font>
      <i/>
      <sz val="9"/>
      <color rgb="FF888888"/>
      <name val="Calibri"/>
      <family val="2"/>
    </font>
    <font>
      <i/>
      <sz val="9"/>
      <color rgb="FF777777"/>
      <name val="Calibri"/>
      <family val="2"/>
    </font>
    <font>
      <b/>
      <sz val="10"/>
      <color rgb="FF1B4332"/>
      <name val="Calibri"/>
      <family val="2"/>
    </font>
    <font>
      <b/>
      <sz val="11"/>
      <color rgb="FFFFFFFF"/>
      <name val="Calibri"/>
      <family val="2"/>
    </font>
    <font>
      <b/>
      <sz val="13"/>
      <color rgb="FFFFFFFF"/>
      <name val="Calibri"/>
      <family val="2"/>
    </font>
    <font>
      <b/>
      <sz val="15"/>
      <color rgb="FFFFFFFF"/>
      <name val="Calibri"/>
      <family val="2"/>
    </font>
    <font>
      <sz val="9"/>
      <color rgb="FF3D3D3D"/>
      <name val="Calibri"/>
      <family val="2"/>
    </font>
    <font>
      <b/>
      <sz val="12"/>
      <color rgb="FFF0A500"/>
      <name val="Calibri"/>
      <family val="2"/>
    </font>
    <font>
      <b/>
      <sz val="12"/>
      <color rgb="FF1B4332"/>
      <name val="Calibri"/>
      <family val="2"/>
    </font>
    <font>
      <b/>
      <sz val="12"/>
      <color rgb="FF8B0000"/>
      <name val="Calibri"/>
      <family val="2"/>
    </font>
    <font>
      <i/>
      <sz val="8"/>
      <color rgb="FF555555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D2D44"/>
      </patternFill>
    </fill>
    <fill>
      <patternFill patternType="solid">
        <fgColor rgb="FFD4A500"/>
      </patternFill>
    </fill>
    <fill>
      <patternFill patternType="solid">
        <fgColor rgb="FFFFFFFF"/>
      </patternFill>
    </fill>
    <fill>
      <patternFill patternType="solid">
        <fgColor rgb="FFFFF8EC"/>
      </patternFill>
    </fill>
    <fill>
      <patternFill patternType="solid">
        <fgColor rgb="FFF0A500"/>
      </patternFill>
    </fill>
    <fill>
      <patternFill patternType="solid">
        <fgColor rgb="FF3A3A50"/>
      </patternFill>
    </fill>
    <fill>
      <patternFill patternType="solid">
        <fgColor rgb="FFE8E0D0"/>
      </patternFill>
    </fill>
    <fill>
      <patternFill patternType="solid">
        <fgColor rgb="FFFFFDE7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7" fillId="0" borderId="0" applyFont="0" applyFill="0" applyBorder="0" applyAlignment="0" applyProtection="0"/>
  </cellStyleXfs>
  <cellXfs count="67">
    <xf numFmtId="0" fontId="0" fillId="0" borderId="0" xfId="0"/>
    <xf numFmtId="0" fontId="3" fillId="7" borderId="1" xfId="0" applyFont="1" applyFill="1" applyBorder="1" applyAlignment="1">
      <alignment horizontal="center" vertical="center" wrapText="1"/>
    </xf>
    <xf numFmtId="164" fontId="8" fillId="9" borderId="1" xfId="0" applyNumberFormat="1" applyFont="1" applyFill="1" applyBorder="1" applyAlignment="1">
      <alignment horizontal="right" vertical="center"/>
    </xf>
    <xf numFmtId="164" fontId="4" fillId="10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4" fillId="6" borderId="1" xfId="0" applyNumberFormat="1" applyFont="1" applyFill="1" applyBorder="1" applyAlignment="1">
      <alignment horizontal="right" vertical="center"/>
    </xf>
    <xf numFmtId="164" fontId="15" fillId="6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3" fillId="7" borderId="1" xfId="0" applyFont="1" applyFill="1" applyBorder="1" applyAlignment="1">
      <alignment horizontal="right" vertical="center" wrapText="1"/>
    </xf>
    <xf numFmtId="0" fontId="0" fillId="6" borderId="1" xfId="0" applyFill="1" applyBorder="1" applyAlignment="1">
      <alignment horizontal="right"/>
    </xf>
    <xf numFmtId="0" fontId="0" fillId="0" borderId="0" xfId="0" applyAlignment="1">
      <alignment horizontal="right"/>
    </xf>
    <xf numFmtId="0" fontId="9" fillId="2" borderId="1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4" fillId="5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5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indent="2"/>
    </xf>
    <xf numFmtId="44" fontId="18" fillId="0" borderId="0" xfId="1" applyFont="1"/>
    <xf numFmtId="0" fontId="18" fillId="0" borderId="0" xfId="0" applyFont="1" applyAlignment="1">
      <alignment horizontal="right"/>
    </xf>
    <xf numFmtId="44" fontId="18" fillId="0" borderId="0" xfId="0" applyNumberFormat="1" applyFont="1"/>
    <xf numFmtId="0" fontId="18" fillId="0" borderId="5" xfId="0" applyFont="1" applyBorder="1" applyAlignment="1">
      <alignment horizontal="right"/>
    </xf>
    <xf numFmtId="44" fontId="18" fillId="0" borderId="5" xfId="1" applyFont="1" applyBorder="1"/>
    <xf numFmtId="0" fontId="16" fillId="11" borderId="2" xfId="0" applyFont="1" applyFill="1" applyBorder="1" applyAlignment="1">
      <alignment horizontal="left" vertical="center" wrapText="1"/>
    </xf>
    <xf numFmtId="0" fontId="16" fillId="11" borderId="0" xfId="0" applyFont="1" applyFill="1" applyAlignment="1">
      <alignment horizontal="left" vertical="center" wrapText="1"/>
    </xf>
    <xf numFmtId="0" fontId="0" fillId="0" borderId="0" xfId="0"/>
    <xf numFmtId="0" fontId="5" fillId="6" borderId="3" xfId="0" applyFont="1" applyFill="1" applyBorder="1" applyAlignment="1">
      <alignment horizontal="right" vertical="center" wrapText="1"/>
    </xf>
    <xf numFmtId="0" fontId="5" fillId="6" borderId="0" xfId="0" applyFont="1" applyFill="1" applyAlignment="1">
      <alignment horizontal="right" vertical="center" wrapText="1"/>
    </xf>
    <xf numFmtId="0" fontId="5" fillId="6" borderId="4" xfId="0" applyFont="1" applyFill="1" applyBorder="1" applyAlignment="1">
      <alignment horizontal="righ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Bozzone" refreshedDate="46083.921246296297" createdVersion="8" refreshedVersion="8" minRefreshableVersion="3" recordCount="14" xr:uid="{AC23A2BC-DFE7-4CF1-897D-FFAC7DE01F78}">
  <cacheSource type="worksheet">
    <worksheetSource ref="A4:I18" sheet="Budget"/>
  </cacheSource>
  <cacheFields count="9">
    <cacheField name="ITEM" numFmtId="0">
      <sharedItems count="14">
        <s v="Hardwood Penetrating Oil Finish (quart)"/>
        <s v="Lauan Plywood 4×8 (Wall Panels)"/>
        <s v="Construction Adhesive (Liquid Nails)"/>
        <s v="1/8&quot; hardboard"/>
        <s v="Lumber Rack Brackets (Heavy-Duty Steel)"/>
        <s v="Lag Bolts + Wall Anchors Assortment"/>
        <s v="Floating Shelf Brackets (16&quot; Depth)"/>
        <s v="LED Lights (Under-Shelf Strip)"/>
        <s v="3/4&quot;  Plywood 4×8 (shelf single) "/>
        <s v="5-Gallon Storage Bin + Yellow Lid"/>
        <s v="Floating Worktop Brackets (Heavy Duty)"/>
        <s v="Laminate, grey"/>
        <s v="3/4&quot;  Plywood 4×8 (Bench top lamination)"/>
        <s v="Wall Control Metal Pegboard Kit (2-pack)"/>
      </sharedItems>
    </cacheField>
    <cacheField name="Phase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AREA" numFmtId="0">
      <sharedItems count="5">
        <s v="finish &amp; hrdwr"/>
        <s v="walls"/>
        <s v="storage"/>
        <s v="shelf"/>
        <s v="bench"/>
      </sharedItems>
    </cacheField>
    <cacheField name="SUPPLIER" numFmtId="0">
      <sharedItems count="4">
        <s v="Amazon"/>
        <s v="Lowes"/>
        <s v="Bora "/>
        <s v="Wall Control"/>
      </sharedItems>
    </cacheField>
    <cacheField name="REQUIRED_x000a_QTY" numFmtId="0">
      <sharedItems containsSemiMixedTypes="0" containsString="0" containsNumber="1" containsInteger="1" minValue="1" maxValue="15"/>
    </cacheField>
    <cacheField name="ON HAND_x000a_QTY" numFmtId="0">
      <sharedItems containsSemiMixedTypes="0" containsString="0" containsNumber="1" containsInteger="1" minValue="0" maxValue="9"/>
    </cacheField>
    <cacheField name="TO PURCHASE" numFmtId="0">
      <sharedItems containsSemiMixedTypes="0" containsString="0" containsNumber="1" containsInteger="1" minValue="0" maxValue="9"/>
    </cacheField>
    <cacheField name="UNIT_x000a_COST" numFmtId="164">
      <sharedItems containsSemiMixedTypes="0" containsString="0" containsNumber="1" minValue="0" maxValue="285"/>
    </cacheField>
    <cacheField name="REM COST" numFmtId="164">
      <sharedItems containsSemiMixedTypes="0" containsString="0" containsNumber="1" minValue="0" maxValue="5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x v="0"/>
    <x v="0"/>
    <n v="1"/>
    <n v="0"/>
    <n v="1"/>
    <n v="68.67"/>
    <n v="68.67"/>
  </r>
  <r>
    <x v="1"/>
    <x v="0"/>
    <x v="1"/>
    <x v="1"/>
    <n v="9"/>
    <n v="0"/>
    <n v="9"/>
    <n v="14.98"/>
    <n v="134.82"/>
  </r>
  <r>
    <x v="2"/>
    <x v="0"/>
    <x v="0"/>
    <x v="1"/>
    <n v="2"/>
    <n v="0"/>
    <n v="2"/>
    <n v="7.49"/>
    <n v="14.98"/>
  </r>
  <r>
    <x v="3"/>
    <x v="1"/>
    <x v="1"/>
    <x v="1"/>
    <n v="1"/>
    <n v="0"/>
    <n v="1"/>
    <n v="14.28"/>
    <n v="14.28"/>
  </r>
  <r>
    <x v="4"/>
    <x v="1"/>
    <x v="2"/>
    <x v="2"/>
    <n v="6"/>
    <n v="6"/>
    <n v="0"/>
    <n v="0"/>
    <n v="0"/>
  </r>
  <r>
    <x v="5"/>
    <x v="1"/>
    <x v="0"/>
    <x v="1"/>
    <n v="1"/>
    <n v="0"/>
    <n v="1"/>
    <n v="18.489999999999998"/>
    <n v="18.489999999999998"/>
  </r>
  <r>
    <x v="6"/>
    <x v="2"/>
    <x v="3"/>
    <x v="0"/>
    <n v="2"/>
    <n v="0"/>
    <n v="2"/>
    <n v="37.950000000000003"/>
    <n v="75.900000000000006"/>
  </r>
  <r>
    <x v="7"/>
    <x v="2"/>
    <x v="3"/>
    <x v="0"/>
    <n v="1"/>
    <n v="0"/>
    <n v="1"/>
    <n v="42.49"/>
    <n v="42.49"/>
  </r>
  <r>
    <x v="8"/>
    <x v="2"/>
    <x v="3"/>
    <x v="1"/>
    <n v="1"/>
    <n v="0"/>
    <n v="1"/>
    <n v="64.97"/>
    <n v="64.97"/>
  </r>
  <r>
    <x v="9"/>
    <x v="2"/>
    <x v="2"/>
    <x v="1"/>
    <n v="15"/>
    <n v="9"/>
    <n v="6"/>
    <n v="8.98"/>
    <n v="53.88"/>
  </r>
  <r>
    <x v="10"/>
    <x v="3"/>
    <x v="4"/>
    <x v="0"/>
    <n v="8"/>
    <n v="8"/>
    <n v="0"/>
    <n v="23.25"/>
    <n v="0"/>
  </r>
  <r>
    <x v="11"/>
    <x v="3"/>
    <x v="4"/>
    <x v="1"/>
    <n v="1"/>
    <n v="0"/>
    <n v="1"/>
    <n v="61.44"/>
    <n v="61.44"/>
  </r>
  <r>
    <x v="12"/>
    <x v="3"/>
    <x v="4"/>
    <x v="1"/>
    <n v="2"/>
    <n v="0"/>
    <n v="2"/>
    <n v="64.97"/>
    <n v="129.94"/>
  </r>
  <r>
    <x v="13"/>
    <x v="4"/>
    <x v="2"/>
    <x v="3"/>
    <n v="2"/>
    <n v="0"/>
    <n v="2"/>
    <n v="285"/>
    <n v="5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77E405-CB24-4475-870C-D5B876DBCC91}" name="PivotTable1" cacheId="2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E17" firstHeaderRow="1" firstDataRow="3" firstDataCol="1"/>
  <pivotFields count="9">
    <pivotField axis="axisRow" showAll="0">
      <items count="15">
        <item x="6"/>
        <item h="1" x="10"/>
        <item x="0"/>
        <item x="7"/>
        <item x="3"/>
        <item x="12"/>
        <item x="8"/>
        <item x="9"/>
        <item x="2"/>
        <item x="5"/>
        <item x="11"/>
        <item x="1"/>
        <item x="4"/>
        <item x="13"/>
        <item t="default"/>
      </items>
    </pivotField>
    <pivotField showAll="0"/>
    <pivotField showAll="0"/>
    <pivotField axis="axisCol" showAll="0">
      <items count="5">
        <item x="0"/>
        <item h="1" x="2"/>
        <item x="1"/>
        <item h="1" x="3"/>
        <item t="default"/>
      </items>
    </pivotField>
    <pivotField showAll="0"/>
    <pivotField showAll="0"/>
    <pivotField dataField="1" showAll="0"/>
    <pivotField numFmtId="164" showAll="0"/>
    <pivotField dataField="1" numFmtId="164" showAll="0"/>
  </pivotFields>
  <rowFields count="1">
    <field x="0"/>
  </rowFields>
  <rowItems count="12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3"/>
    <field x="-2"/>
  </colFields>
  <colItems count="4">
    <i>
      <x/>
      <x/>
    </i>
    <i r="1" i="1">
      <x v="1"/>
    </i>
    <i>
      <x v="2"/>
      <x/>
    </i>
    <i r="1" i="1">
      <x v="1"/>
    </i>
  </colItems>
  <dataFields count="2">
    <dataField name="quan" fld="6" baseField="0" baseItem="0"/>
    <dataField name="cos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67B7C-2B5F-4C6B-834C-3852A2317187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8" firstHeaderRow="1" firstDataRow="2" firstDataCol="1"/>
  <pivotFields count="9">
    <pivotField axis="axisRow" showAll="0">
      <items count="15">
        <item x="12"/>
        <item x="8"/>
        <item x="9"/>
        <item x="2"/>
        <item x="6"/>
        <item x="10"/>
        <item x="0"/>
        <item x="5"/>
        <item x="1"/>
        <item x="7"/>
        <item x="4"/>
        <item x="13"/>
        <item x="3"/>
        <item x="1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4"/>
        <item x="0"/>
        <item x="3"/>
        <item x="2"/>
        <item x="1"/>
        <item t="default"/>
      </items>
    </pivotField>
    <pivotField axis="axisCol" showAll="0">
      <items count="5">
        <item x="0"/>
        <item h="1" x="2"/>
        <item x="1"/>
        <item h="1" x="3"/>
        <item t="default"/>
      </items>
    </pivotField>
    <pivotField showAll="0"/>
    <pivotField showAll="0"/>
    <pivotField showAll="0"/>
    <pivotField numFmtId="164" showAll="0"/>
    <pivotField dataField="1" numFmtId="164" showAll="0"/>
  </pivotFields>
  <rowFields count="3">
    <field x="1"/>
    <field x="2"/>
    <field x="0"/>
  </rowFields>
  <rowItems count="24">
    <i>
      <x/>
    </i>
    <i r="1">
      <x v="1"/>
    </i>
    <i r="2">
      <x v="3"/>
    </i>
    <i r="2">
      <x v="6"/>
    </i>
    <i r="1">
      <x v="4"/>
    </i>
    <i r="2">
      <x v="8"/>
    </i>
    <i>
      <x v="1"/>
    </i>
    <i r="1">
      <x v="1"/>
    </i>
    <i r="2">
      <x v="7"/>
    </i>
    <i r="1">
      <x v="4"/>
    </i>
    <i r="2">
      <x v="12"/>
    </i>
    <i>
      <x v="2"/>
    </i>
    <i r="1">
      <x v="2"/>
    </i>
    <i r="2">
      <x v="1"/>
    </i>
    <i r="2">
      <x v="4"/>
    </i>
    <i r="2">
      <x v="9"/>
    </i>
    <i r="1">
      <x v="3"/>
    </i>
    <i r="2">
      <x v="2"/>
    </i>
    <i>
      <x v="3"/>
    </i>
    <i r="1">
      <x/>
    </i>
    <i r="2">
      <x/>
    </i>
    <i r="2">
      <x v="5"/>
    </i>
    <i r="2">
      <x v="13"/>
    </i>
    <i t="grand">
      <x/>
    </i>
  </rowItems>
  <colFields count="1">
    <field x="3"/>
  </colFields>
  <colItems count="3">
    <i>
      <x/>
    </i>
    <i>
      <x v="2"/>
    </i>
    <i t="grand">
      <x/>
    </i>
  </colItems>
  <dataFields count="1">
    <dataField name="Sum of REM COS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C734-9EB3-4BFD-8CAD-7C1758009F35}">
  <dimension ref="A3:E43"/>
  <sheetViews>
    <sheetView workbookViewId="0">
      <selection activeCell="A38" sqref="A38"/>
    </sheetView>
  </sheetViews>
  <sheetFormatPr defaultRowHeight="14.5" x14ac:dyDescent="0.35"/>
  <cols>
    <col min="1" max="1" width="35.90625" bestFit="1" customWidth="1"/>
    <col min="2" max="2" width="15.26953125" bestFit="1" customWidth="1"/>
    <col min="3" max="3" width="7.36328125" bestFit="1" customWidth="1"/>
    <col min="4" max="4" width="6" bestFit="1" customWidth="1"/>
    <col min="5" max="5" width="7.36328125" bestFit="1" customWidth="1"/>
    <col min="6" max="6" width="10.7265625" bestFit="1" customWidth="1"/>
    <col min="7" max="7" width="12.08984375" bestFit="1" customWidth="1"/>
    <col min="8" max="8" width="15.81640625" bestFit="1" customWidth="1"/>
    <col min="9" max="9" width="12.08984375" bestFit="1" customWidth="1"/>
    <col min="10" max="10" width="20.6328125" bestFit="1" customWidth="1"/>
    <col min="11" max="11" width="17" bestFit="1" customWidth="1"/>
    <col min="12" max="12" width="7.36328125" bestFit="1" customWidth="1"/>
    <col min="13" max="13" width="10.7265625" bestFit="1" customWidth="1"/>
  </cols>
  <sheetData>
    <row r="3" spans="1:5" x14ac:dyDescent="0.35">
      <c r="B3" s="38" t="s">
        <v>95</v>
      </c>
    </row>
    <row r="4" spans="1:5" x14ac:dyDescent="0.35">
      <c r="B4" t="s">
        <v>14</v>
      </c>
      <c r="D4" t="s">
        <v>15</v>
      </c>
    </row>
    <row r="5" spans="1:5" x14ac:dyDescent="0.35">
      <c r="A5" s="38" t="s">
        <v>97</v>
      </c>
      <c r="B5" t="s">
        <v>102</v>
      </c>
      <c r="C5" t="s">
        <v>103</v>
      </c>
      <c r="D5" t="s">
        <v>102</v>
      </c>
      <c r="E5" t="s">
        <v>103</v>
      </c>
    </row>
    <row r="6" spans="1:5" x14ac:dyDescent="0.35">
      <c r="A6" s="39" t="s">
        <v>17</v>
      </c>
      <c r="B6" s="66">
        <v>2</v>
      </c>
      <c r="C6" s="27">
        <v>75.900000000000006</v>
      </c>
      <c r="D6" s="66"/>
      <c r="E6" s="27"/>
    </row>
    <row r="7" spans="1:5" x14ac:dyDescent="0.35">
      <c r="A7" s="39" t="s">
        <v>28</v>
      </c>
      <c r="B7" s="66">
        <v>1</v>
      </c>
      <c r="C7" s="27">
        <v>68.67</v>
      </c>
      <c r="D7" s="66"/>
      <c r="E7" s="27"/>
    </row>
    <row r="8" spans="1:5" x14ac:dyDescent="0.35">
      <c r="A8" s="39" t="s">
        <v>18</v>
      </c>
      <c r="B8" s="66">
        <v>1</v>
      </c>
      <c r="C8" s="27">
        <v>42.49</v>
      </c>
      <c r="D8" s="66"/>
      <c r="E8" s="27"/>
    </row>
    <row r="9" spans="1:5" x14ac:dyDescent="0.35">
      <c r="A9" s="39" t="s">
        <v>100</v>
      </c>
      <c r="B9" s="66"/>
      <c r="C9" s="27"/>
      <c r="D9" s="66">
        <v>1</v>
      </c>
      <c r="E9" s="27">
        <v>14.28</v>
      </c>
    </row>
    <row r="10" spans="1:5" x14ac:dyDescent="0.35">
      <c r="A10" s="39" t="s">
        <v>80</v>
      </c>
      <c r="B10" s="66"/>
      <c r="C10" s="27"/>
      <c r="D10" s="66">
        <v>2</v>
      </c>
      <c r="E10" s="27">
        <v>129.94</v>
      </c>
    </row>
    <row r="11" spans="1:5" x14ac:dyDescent="0.35">
      <c r="A11" s="39" t="s">
        <v>93</v>
      </c>
      <c r="B11" s="66"/>
      <c r="C11" s="27"/>
      <c r="D11" s="66">
        <v>1</v>
      </c>
      <c r="E11" s="27">
        <v>64.97</v>
      </c>
    </row>
    <row r="12" spans="1:5" x14ac:dyDescent="0.35">
      <c r="A12" s="39" t="s">
        <v>20</v>
      </c>
      <c r="B12" s="66"/>
      <c r="C12" s="27"/>
      <c r="D12" s="66">
        <v>6</v>
      </c>
      <c r="E12" s="27">
        <v>53.88</v>
      </c>
    </row>
    <row r="13" spans="1:5" x14ac:dyDescent="0.35">
      <c r="A13" s="39" t="s">
        <v>33</v>
      </c>
      <c r="B13" s="66"/>
      <c r="C13" s="27"/>
      <c r="D13" s="66">
        <v>2</v>
      </c>
      <c r="E13" s="27">
        <v>14.98</v>
      </c>
    </row>
    <row r="14" spans="1:5" x14ac:dyDescent="0.35">
      <c r="A14" s="39" t="s">
        <v>30</v>
      </c>
      <c r="B14" s="66"/>
      <c r="C14" s="27"/>
      <c r="D14" s="66">
        <v>1</v>
      </c>
      <c r="E14" s="27">
        <v>18.489999999999998</v>
      </c>
    </row>
    <row r="15" spans="1:5" x14ac:dyDescent="0.35">
      <c r="A15" s="39" t="s">
        <v>101</v>
      </c>
      <c r="B15" s="66"/>
      <c r="C15" s="27"/>
      <c r="D15" s="66">
        <v>1</v>
      </c>
      <c r="E15" s="27">
        <v>61.44</v>
      </c>
    </row>
    <row r="16" spans="1:5" x14ac:dyDescent="0.35">
      <c r="A16" s="39" t="s">
        <v>10</v>
      </c>
      <c r="B16" s="66"/>
      <c r="C16" s="27"/>
      <c r="D16" s="66">
        <v>9</v>
      </c>
      <c r="E16" s="27">
        <v>134.82</v>
      </c>
    </row>
    <row r="17" spans="1:5" x14ac:dyDescent="0.35">
      <c r="A17" s="39" t="s">
        <v>96</v>
      </c>
      <c r="B17" s="66">
        <v>4</v>
      </c>
      <c r="C17" s="27">
        <v>187.06</v>
      </c>
      <c r="D17" s="66">
        <v>23</v>
      </c>
      <c r="E17" s="27">
        <v>492.8</v>
      </c>
    </row>
    <row r="33" spans="1:1" x14ac:dyDescent="0.35">
      <c r="A33" s="39" t="s">
        <v>17</v>
      </c>
    </row>
    <row r="34" spans="1:1" x14ac:dyDescent="0.35">
      <c r="A34" s="39" t="s">
        <v>28</v>
      </c>
    </row>
    <row r="35" spans="1:1" x14ac:dyDescent="0.35">
      <c r="A35" s="39" t="s">
        <v>18</v>
      </c>
    </row>
    <row r="36" spans="1:1" x14ac:dyDescent="0.35">
      <c r="A36" s="39" t="s">
        <v>100</v>
      </c>
    </row>
    <row r="37" spans="1:1" x14ac:dyDescent="0.35">
      <c r="A37" s="39" t="s">
        <v>80</v>
      </c>
    </row>
    <row r="38" spans="1:1" x14ac:dyDescent="0.35">
      <c r="A38" s="39" t="s">
        <v>93</v>
      </c>
    </row>
    <row r="39" spans="1:1" x14ac:dyDescent="0.35">
      <c r="A39" s="39" t="s">
        <v>20</v>
      </c>
    </row>
    <row r="40" spans="1:1" x14ac:dyDescent="0.35">
      <c r="A40" s="39" t="s">
        <v>33</v>
      </c>
    </row>
    <row r="41" spans="1:1" x14ac:dyDescent="0.35">
      <c r="A41" s="39" t="s">
        <v>30</v>
      </c>
    </row>
    <row r="42" spans="1:1" x14ac:dyDescent="0.35">
      <c r="A42" s="39" t="s">
        <v>101</v>
      </c>
    </row>
    <row r="43" spans="1:1" x14ac:dyDescent="0.35">
      <c r="A43" s="3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42DC-7CD0-44C8-8CCD-BFD1B5E43716}">
  <dimension ref="A3:D28"/>
  <sheetViews>
    <sheetView workbookViewId="0">
      <selection activeCell="E8" sqref="E8"/>
    </sheetView>
  </sheetViews>
  <sheetFormatPr defaultRowHeight="14.5" x14ac:dyDescent="0.35"/>
  <cols>
    <col min="1" max="1" width="41.81640625" bestFit="1" customWidth="1"/>
    <col min="2" max="2" width="15.26953125" bestFit="1" customWidth="1"/>
    <col min="3" max="3" width="7.36328125" bestFit="1" customWidth="1"/>
    <col min="4" max="6" width="10.7265625" bestFit="1" customWidth="1"/>
    <col min="7" max="7" width="12.08984375" bestFit="1" customWidth="1"/>
    <col min="8" max="8" width="15.81640625" bestFit="1" customWidth="1"/>
    <col min="9" max="9" width="12.08984375" bestFit="1" customWidth="1"/>
    <col min="10" max="10" width="20.6328125" bestFit="1" customWidth="1"/>
    <col min="11" max="11" width="17" bestFit="1" customWidth="1"/>
    <col min="12" max="12" width="7.36328125" bestFit="1" customWidth="1"/>
    <col min="13" max="13" width="10.7265625" bestFit="1" customWidth="1"/>
  </cols>
  <sheetData>
    <row r="3" spans="1:4" x14ac:dyDescent="0.35">
      <c r="A3" s="38" t="s">
        <v>98</v>
      </c>
      <c r="B3" s="38" t="s">
        <v>95</v>
      </c>
    </row>
    <row r="4" spans="1:4" x14ac:dyDescent="0.35">
      <c r="A4" s="38" t="s">
        <v>97</v>
      </c>
      <c r="B4" t="s">
        <v>14</v>
      </c>
      <c r="C4" t="s">
        <v>15</v>
      </c>
      <c r="D4" t="s">
        <v>96</v>
      </c>
    </row>
    <row r="5" spans="1:4" x14ac:dyDescent="0.35">
      <c r="A5" s="39">
        <v>1</v>
      </c>
      <c r="B5" s="27">
        <v>68.67</v>
      </c>
      <c r="C5" s="27">
        <v>149.79999999999998</v>
      </c>
      <c r="D5" s="27">
        <v>218.47</v>
      </c>
    </row>
    <row r="6" spans="1:4" x14ac:dyDescent="0.35">
      <c r="A6" s="40" t="s">
        <v>91</v>
      </c>
      <c r="B6" s="27">
        <v>68.67</v>
      </c>
      <c r="C6" s="27">
        <v>14.98</v>
      </c>
      <c r="D6" s="27">
        <v>83.65</v>
      </c>
    </row>
    <row r="7" spans="1:4" x14ac:dyDescent="0.35">
      <c r="A7" s="42" t="s">
        <v>33</v>
      </c>
      <c r="B7" s="27"/>
      <c r="C7" s="27">
        <v>14.98</v>
      </c>
      <c r="D7" s="27">
        <v>14.98</v>
      </c>
    </row>
    <row r="8" spans="1:4" x14ac:dyDescent="0.35">
      <c r="A8" s="42" t="s">
        <v>28</v>
      </c>
      <c r="B8" s="27">
        <v>68.67</v>
      </c>
      <c r="C8" s="27"/>
      <c r="D8" s="27">
        <v>68.67</v>
      </c>
    </row>
    <row r="9" spans="1:4" x14ac:dyDescent="0.35">
      <c r="A9" s="40" t="s">
        <v>81</v>
      </c>
      <c r="B9" s="27"/>
      <c r="C9" s="27">
        <v>134.82</v>
      </c>
      <c r="D9" s="27">
        <v>134.82</v>
      </c>
    </row>
    <row r="10" spans="1:4" x14ac:dyDescent="0.35">
      <c r="A10" s="42" t="s">
        <v>10</v>
      </c>
      <c r="B10" s="27"/>
      <c r="C10" s="27">
        <v>134.82</v>
      </c>
      <c r="D10" s="27">
        <v>134.82</v>
      </c>
    </row>
    <row r="11" spans="1:4" x14ac:dyDescent="0.35">
      <c r="A11" s="39">
        <v>2</v>
      </c>
      <c r="B11" s="27"/>
      <c r="C11" s="27">
        <v>32.769999999999996</v>
      </c>
      <c r="D11" s="27">
        <v>32.769999999999996</v>
      </c>
    </row>
    <row r="12" spans="1:4" x14ac:dyDescent="0.35">
      <c r="A12" s="40" t="s">
        <v>91</v>
      </c>
      <c r="B12" s="27"/>
      <c r="C12" s="27">
        <v>18.489999999999998</v>
      </c>
      <c r="D12" s="27">
        <v>18.489999999999998</v>
      </c>
    </row>
    <row r="13" spans="1:4" x14ac:dyDescent="0.35">
      <c r="A13" s="42" t="s">
        <v>30</v>
      </c>
      <c r="B13" s="27"/>
      <c r="C13" s="27">
        <v>18.489999999999998</v>
      </c>
      <c r="D13" s="27">
        <v>18.489999999999998</v>
      </c>
    </row>
    <row r="14" spans="1:4" x14ac:dyDescent="0.35">
      <c r="A14" s="40" t="s">
        <v>81</v>
      </c>
      <c r="B14" s="27"/>
      <c r="C14" s="27">
        <v>14.28</v>
      </c>
      <c r="D14" s="27">
        <v>14.28</v>
      </c>
    </row>
    <row r="15" spans="1:4" x14ac:dyDescent="0.35">
      <c r="A15" s="42" t="s">
        <v>100</v>
      </c>
      <c r="B15" s="27"/>
      <c r="C15" s="27">
        <v>14.28</v>
      </c>
      <c r="D15" s="27">
        <v>14.28</v>
      </c>
    </row>
    <row r="16" spans="1:4" x14ac:dyDescent="0.35">
      <c r="A16" s="39">
        <v>3</v>
      </c>
      <c r="B16" s="27">
        <v>118.39000000000001</v>
      </c>
      <c r="C16" s="27">
        <v>118.85</v>
      </c>
      <c r="D16" s="27">
        <v>237.24</v>
      </c>
    </row>
    <row r="17" spans="1:4" x14ac:dyDescent="0.35">
      <c r="A17" s="40" t="s">
        <v>83</v>
      </c>
      <c r="B17" s="27">
        <v>118.39000000000001</v>
      </c>
      <c r="C17" s="27">
        <v>64.97</v>
      </c>
      <c r="D17" s="27">
        <v>183.36</v>
      </c>
    </row>
    <row r="18" spans="1:4" x14ac:dyDescent="0.35">
      <c r="A18" s="42" t="s">
        <v>93</v>
      </c>
      <c r="B18" s="27"/>
      <c r="C18" s="27">
        <v>64.97</v>
      </c>
      <c r="D18" s="27">
        <v>64.97</v>
      </c>
    </row>
    <row r="19" spans="1:4" x14ac:dyDescent="0.35">
      <c r="A19" s="42" t="s">
        <v>17</v>
      </c>
      <c r="B19" s="27">
        <v>75.900000000000006</v>
      </c>
      <c r="C19" s="27"/>
      <c r="D19" s="27">
        <v>75.900000000000006</v>
      </c>
    </row>
    <row r="20" spans="1:4" x14ac:dyDescent="0.35">
      <c r="A20" s="42" t="s">
        <v>18</v>
      </c>
      <c r="B20" s="27">
        <v>42.49</v>
      </c>
      <c r="C20" s="27"/>
      <c r="D20" s="27">
        <v>42.49</v>
      </c>
    </row>
    <row r="21" spans="1:4" x14ac:dyDescent="0.35">
      <c r="A21" s="40" t="s">
        <v>84</v>
      </c>
      <c r="B21" s="27"/>
      <c r="C21" s="27">
        <v>53.88</v>
      </c>
      <c r="D21" s="27">
        <v>53.88</v>
      </c>
    </row>
    <row r="22" spans="1:4" x14ac:dyDescent="0.35">
      <c r="A22" s="42" t="s">
        <v>20</v>
      </c>
      <c r="B22" s="27"/>
      <c r="C22" s="27">
        <v>53.88</v>
      </c>
      <c r="D22" s="27">
        <v>53.88</v>
      </c>
    </row>
    <row r="23" spans="1:4" x14ac:dyDescent="0.35">
      <c r="A23" s="39">
        <v>4</v>
      </c>
      <c r="B23" s="27">
        <v>0</v>
      </c>
      <c r="C23" s="27">
        <v>191.38</v>
      </c>
      <c r="D23" s="27">
        <v>191.38</v>
      </c>
    </row>
    <row r="24" spans="1:4" x14ac:dyDescent="0.35">
      <c r="A24" s="40" t="s">
        <v>82</v>
      </c>
      <c r="B24" s="27">
        <v>0</v>
      </c>
      <c r="C24" s="27">
        <v>191.38</v>
      </c>
      <c r="D24" s="27">
        <v>191.38</v>
      </c>
    </row>
    <row r="25" spans="1:4" x14ac:dyDescent="0.35">
      <c r="A25" s="42" t="s">
        <v>80</v>
      </c>
      <c r="B25" s="27"/>
      <c r="C25" s="27">
        <v>129.94</v>
      </c>
      <c r="D25" s="27">
        <v>129.94</v>
      </c>
    </row>
    <row r="26" spans="1:4" x14ac:dyDescent="0.35">
      <c r="A26" s="42" t="s">
        <v>13</v>
      </c>
      <c r="B26" s="27">
        <v>0</v>
      </c>
      <c r="C26" s="27"/>
      <c r="D26" s="27">
        <v>0</v>
      </c>
    </row>
    <row r="27" spans="1:4" x14ac:dyDescent="0.35">
      <c r="A27" s="42" t="s">
        <v>101</v>
      </c>
      <c r="B27" s="27"/>
      <c r="C27" s="27">
        <v>61.44</v>
      </c>
      <c r="D27" s="27">
        <v>61.44</v>
      </c>
    </row>
    <row r="28" spans="1:4" x14ac:dyDescent="0.35">
      <c r="A28" s="39" t="s">
        <v>96</v>
      </c>
      <c r="B28" s="27">
        <v>187.06</v>
      </c>
      <c r="C28" s="27">
        <v>492.8</v>
      </c>
      <c r="D28" s="27">
        <v>679.86000000000013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0687-3931-4551-ABBC-9C01622620C5}">
  <sheetPr filterMode="1"/>
  <dimension ref="A1:O32"/>
  <sheetViews>
    <sheetView zoomScale="104" zoomScaleNormal="104" workbookViewId="0">
      <selection activeCell="J30" sqref="J30"/>
    </sheetView>
  </sheetViews>
  <sheetFormatPr defaultRowHeight="14.5" x14ac:dyDescent="0.35"/>
  <cols>
    <col min="1" max="1" width="34" customWidth="1"/>
    <col min="2" max="2" width="10.36328125" customWidth="1"/>
    <col min="3" max="3" width="11.7265625" bestFit="1" customWidth="1"/>
    <col min="4" max="4" width="9.81640625" style="28" customWidth="1"/>
    <col min="5" max="6" width="9.36328125" style="28" customWidth="1"/>
    <col min="7" max="7" width="11" style="28" customWidth="1"/>
    <col min="8" max="8" width="9.36328125" style="31" bestFit="1" customWidth="1"/>
    <col min="9" max="9" width="13.26953125" style="31" bestFit="1" customWidth="1"/>
    <col min="10" max="10" width="9.36328125" style="31" customWidth="1"/>
    <col min="11" max="11" width="10.36328125" style="31" bestFit="1" customWidth="1"/>
    <col min="13" max="13" width="28.453125" bestFit="1" customWidth="1"/>
  </cols>
  <sheetData>
    <row r="1" spans="1:15" ht="19.5" x14ac:dyDescent="0.35">
      <c r="A1" s="56" t="s">
        <v>89</v>
      </c>
      <c r="B1" s="56"/>
      <c r="C1" s="56"/>
      <c r="D1" s="50"/>
      <c r="E1" s="50"/>
      <c r="F1" s="50"/>
      <c r="G1" s="50"/>
      <c r="H1" s="50"/>
      <c r="I1" s="50"/>
      <c r="J1" s="50"/>
      <c r="K1" s="50"/>
    </row>
    <row r="2" spans="1:15" x14ac:dyDescent="0.35">
      <c r="A2" s="57" t="s">
        <v>90</v>
      </c>
      <c r="B2" s="57"/>
      <c r="C2" s="57"/>
      <c r="D2" s="50"/>
      <c r="E2" s="50"/>
      <c r="F2" s="50"/>
      <c r="G2" s="50"/>
      <c r="H2" s="50"/>
      <c r="I2" s="50"/>
      <c r="J2" s="50"/>
      <c r="K2" s="50"/>
    </row>
    <row r="3" spans="1:15" ht="8" customHeight="1" x14ac:dyDescent="0.35"/>
    <row r="4" spans="1:15" s="28" customFormat="1" ht="26" x14ac:dyDescent="0.35">
      <c r="A4" s="1" t="s">
        <v>2</v>
      </c>
      <c r="B4" s="1" t="s">
        <v>94</v>
      </c>
      <c r="C4" s="1" t="s">
        <v>88</v>
      </c>
      <c r="D4" s="1" t="s">
        <v>3</v>
      </c>
      <c r="E4" s="1" t="s">
        <v>4</v>
      </c>
      <c r="F4" s="1" t="s">
        <v>5</v>
      </c>
      <c r="G4" s="1" t="s">
        <v>87</v>
      </c>
      <c r="H4" s="1" t="s">
        <v>7</v>
      </c>
      <c r="I4" s="1" t="s">
        <v>92</v>
      </c>
      <c r="J4" s="1" t="s">
        <v>99</v>
      </c>
      <c r="K4" s="1" t="s">
        <v>77</v>
      </c>
    </row>
    <row r="5" spans="1:15" x14ac:dyDescent="0.35">
      <c r="A5" s="4" t="s">
        <v>28</v>
      </c>
      <c r="B5" s="6">
        <v>1</v>
      </c>
      <c r="C5" s="6" t="s">
        <v>91</v>
      </c>
      <c r="D5" s="5" t="s">
        <v>14</v>
      </c>
      <c r="E5" s="6">
        <v>1</v>
      </c>
      <c r="F5" s="6">
        <v>0</v>
      </c>
      <c r="G5" s="7">
        <f>MAX(E5-F5,0)</f>
        <v>1</v>
      </c>
      <c r="H5" s="8">
        <v>68.67</v>
      </c>
      <c r="I5" s="9">
        <f>G5*H5</f>
        <v>68.67</v>
      </c>
      <c r="J5" s="41">
        <f>F5*H5</f>
        <v>0</v>
      </c>
      <c r="K5" s="2">
        <f>E5*H5</f>
        <v>68.67</v>
      </c>
      <c r="N5" s="27"/>
      <c r="O5" s="27"/>
    </row>
    <row r="6" spans="1:15" x14ac:dyDescent="0.35">
      <c r="A6" s="4" t="s">
        <v>10</v>
      </c>
      <c r="B6" s="6">
        <v>1</v>
      </c>
      <c r="C6" s="6" t="s">
        <v>81</v>
      </c>
      <c r="D6" s="5" t="s">
        <v>15</v>
      </c>
      <c r="E6" s="6">
        <v>9</v>
      </c>
      <c r="F6" s="6">
        <v>0</v>
      </c>
      <c r="G6" s="7">
        <f t="shared" ref="G6:G18" si="0">MAX(E6-F6,0)</f>
        <v>9</v>
      </c>
      <c r="H6" s="8">
        <v>14.98</v>
      </c>
      <c r="I6" s="9">
        <f t="shared" ref="I6:I18" si="1">G6*H6</f>
        <v>134.82</v>
      </c>
      <c r="J6" s="41">
        <f t="shared" ref="J6:J18" si="2">F6*H6</f>
        <v>0</v>
      </c>
      <c r="K6" s="2">
        <f t="shared" ref="K6:K18" si="3">E6*H6</f>
        <v>134.82</v>
      </c>
      <c r="N6" s="27"/>
      <c r="O6" s="27"/>
    </row>
    <row r="7" spans="1:15" x14ac:dyDescent="0.35">
      <c r="A7" s="4" t="s">
        <v>33</v>
      </c>
      <c r="B7" s="6">
        <v>1</v>
      </c>
      <c r="C7" s="6" t="s">
        <v>91</v>
      </c>
      <c r="D7" s="5" t="s">
        <v>15</v>
      </c>
      <c r="E7" s="6">
        <v>2</v>
      </c>
      <c r="F7" s="6">
        <v>0</v>
      </c>
      <c r="G7" s="7">
        <f t="shared" si="0"/>
        <v>2</v>
      </c>
      <c r="H7" s="8">
        <v>7.49</v>
      </c>
      <c r="I7" s="9">
        <f t="shared" si="1"/>
        <v>14.98</v>
      </c>
      <c r="J7" s="41">
        <f t="shared" si="2"/>
        <v>0</v>
      </c>
      <c r="K7" s="2">
        <f t="shared" si="3"/>
        <v>14.98</v>
      </c>
      <c r="N7" s="27"/>
      <c r="O7" s="27"/>
    </row>
    <row r="8" spans="1:15" x14ac:dyDescent="0.35">
      <c r="A8" s="4" t="s">
        <v>100</v>
      </c>
      <c r="B8" s="6">
        <v>2</v>
      </c>
      <c r="C8" s="6" t="s">
        <v>81</v>
      </c>
      <c r="D8" s="5" t="s">
        <v>15</v>
      </c>
      <c r="E8" s="6">
        <v>1</v>
      </c>
      <c r="F8" s="6">
        <v>0</v>
      </c>
      <c r="G8" s="7">
        <f t="shared" si="0"/>
        <v>1</v>
      </c>
      <c r="H8" s="8">
        <v>14.28</v>
      </c>
      <c r="I8" s="9">
        <f t="shared" si="1"/>
        <v>14.28</v>
      </c>
      <c r="J8" s="41">
        <f t="shared" si="2"/>
        <v>0</v>
      </c>
      <c r="K8" s="2">
        <f t="shared" si="3"/>
        <v>14.28</v>
      </c>
      <c r="N8" s="27"/>
      <c r="O8" s="27"/>
    </row>
    <row r="9" spans="1:15" x14ac:dyDescent="0.35">
      <c r="A9" s="4" t="s">
        <v>25</v>
      </c>
      <c r="B9" s="6">
        <v>2</v>
      </c>
      <c r="C9" s="6" t="s">
        <v>84</v>
      </c>
      <c r="D9" s="5" t="s">
        <v>86</v>
      </c>
      <c r="E9" s="6">
        <v>6</v>
      </c>
      <c r="F9" s="6">
        <v>6</v>
      </c>
      <c r="G9" s="7">
        <f t="shared" si="0"/>
        <v>0</v>
      </c>
      <c r="H9" s="8">
        <v>0</v>
      </c>
      <c r="I9" s="9">
        <f t="shared" si="1"/>
        <v>0</v>
      </c>
      <c r="J9" s="41">
        <f t="shared" si="2"/>
        <v>0</v>
      </c>
      <c r="K9" s="2">
        <f t="shared" si="3"/>
        <v>0</v>
      </c>
      <c r="N9" s="27"/>
      <c r="O9" s="27"/>
    </row>
    <row r="10" spans="1:15" x14ac:dyDescent="0.35">
      <c r="A10" s="4" t="s">
        <v>30</v>
      </c>
      <c r="B10" s="6">
        <v>2</v>
      </c>
      <c r="C10" s="6" t="s">
        <v>91</v>
      </c>
      <c r="D10" s="5" t="s">
        <v>15</v>
      </c>
      <c r="E10" s="6">
        <v>1</v>
      </c>
      <c r="F10" s="6">
        <v>0</v>
      </c>
      <c r="G10" s="7">
        <f t="shared" si="0"/>
        <v>1</v>
      </c>
      <c r="H10" s="8">
        <v>18.489999999999998</v>
      </c>
      <c r="I10" s="9">
        <f t="shared" si="1"/>
        <v>18.489999999999998</v>
      </c>
      <c r="J10" s="41">
        <f t="shared" si="2"/>
        <v>0</v>
      </c>
      <c r="K10" s="2">
        <f t="shared" si="3"/>
        <v>18.489999999999998</v>
      </c>
      <c r="N10" s="27"/>
      <c r="O10" s="27"/>
    </row>
    <row r="11" spans="1:15" x14ac:dyDescent="0.35">
      <c r="A11" s="4" t="s">
        <v>17</v>
      </c>
      <c r="B11" s="6">
        <v>3</v>
      </c>
      <c r="C11" s="6" t="s">
        <v>83</v>
      </c>
      <c r="D11" s="5" t="s">
        <v>14</v>
      </c>
      <c r="E11" s="6">
        <v>2</v>
      </c>
      <c r="F11" s="6">
        <v>0</v>
      </c>
      <c r="G11" s="7">
        <f t="shared" si="0"/>
        <v>2</v>
      </c>
      <c r="H11" s="8">
        <v>37.950000000000003</v>
      </c>
      <c r="I11" s="9">
        <f t="shared" si="1"/>
        <v>75.900000000000006</v>
      </c>
      <c r="J11" s="41">
        <f t="shared" si="2"/>
        <v>0</v>
      </c>
      <c r="K11" s="2">
        <f t="shared" si="3"/>
        <v>75.900000000000006</v>
      </c>
      <c r="N11" s="27"/>
      <c r="O11" s="27"/>
    </row>
    <row r="12" spans="1:15" x14ac:dyDescent="0.35">
      <c r="A12" s="4" t="s">
        <v>18</v>
      </c>
      <c r="B12" s="6">
        <v>3</v>
      </c>
      <c r="C12" s="6" t="s">
        <v>83</v>
      </c>
      <c r="D12" s="5" t="s">
        <v>14</v>
      </c>
      <c r="E12" s="6">
        <v>1</v>
      </c>
      <c r="F12" s="6">
        <v>0</v>
      </c>
      <c r="G12" s="7">
        <f t="shared" si="0"/>
        <v>1</v>
      </c>
      <c r="H12" s="8">
        <v>42.49</v>
      </c>
      <c r="I12" s="9">
        <f t="shared" si="1"/>
        <v>42.49</v>
      </c>
      <c r="J12" s="41">
        <f t="shared" si="2"/>
        <v>0</v>
      </c>
      <c r="K12" s="2">
        <f t="shared" si="3"/>
        <v>42.49</v>
      </c>
      <c r="N12" s="27"/>
      <c r="O12" s="27"/>
    </row>
    <row r="13" spans="1:15" x14ac:dyDescent="0.35">
      <c r="A13" s="4" t="s">
        <v>93</v>
      </c>
      <c r="B13" s="6">
        <v>3</v>
      </c>
      <c r="C13" s="6" t="s">
        <v>83</v>
      </c>
      <c r="D13" s="5" t="s">
        <v>15</v>
      </c>
      <c r="E13" s="6">
        <v>1</v>
      </c>
      <c r="F13" s="6">
        <v>0</v>
      </c>
      <c r="G13" s="7">
        <f t="shared" si="0"/>
        <v>1</v>
      </c>
      <c r="H13" s="8">
        <v>64.97</v>
      </c>
      <c r="I13" s="9">
        <f t="shared" si="1"/>
        <v>64.97</v>
      </c>
      <c r="J13" s="41">
        <f t="shared" si="2"/>
        <v>0</v>
      </c>
      <c r="K13" s="2">
        <f t="shared" si="3"/>
        <v>64.97</v>
      </c>
      <c r="N13" s="27"/>
      <c r="O13" s="27"/>
    </row>
    <row r="14" spans="1:15" x14ac:dyDescent="0.35">
      <c r="A14" s="4" t="s">
        <v>20</v>
      </c>
      <c r="B14" s="6">
        <v>3</v>
      </c>
      <c r="C14" s="6" t="s">
        <v>84</v>
      </c>
      <c r="D14" s="5" t="s">
        <v>15</v>
      </c>
      <c r="E14" s="6">
        <v>15</v>
      </c>
      <c r="F14" s="6">
        <v>9</v>
      </c>
      <c r="G14" s="7">
        <f t="shared" si="0"/>
        <v>6</v>
      </c>
      <c r="H14" s="8">
        <v>8.98</v>
      </c>
      <c r="I14" s="9">
        <f t="shared" si="1"/>
        <v>53.88</v>
      </c>
      <c r="J14" s="41">
        <f t="shared" si="2"/>
        <v>80.820000000000007</v>
      </c>
      <c r="K14" s="2">
        <f t="shared" si="3"/>
        <v>134.70000000000002</v>
      </c>
      <c r="N14" s="27"/>
      <c r="O14" s="27"/>
    </row>
    <row r="15" spans="1:15" x14ac:dyDescent="0.35">
      <c r="A15" s="4" t="s">
        <v>13</v>
      </c>
      <c r="B15" s="6">
        <v>4</v>
      </c>
      <c r="C15" s="6" t="s">
        <v>82</v>
      </c>
      <c r="D15" s="5" t="s">
        <v>14</v>
      </c>
      <c r="E15" s="6">
        <v>8</v>
      </c>
      <c r="F15" s="6">
        <v>8</v>
      </c>
      <c r="G15" s="7">
        <f t="shared" si="0"/>
        <v>0</v>
      </c>
      <c r="H15" s="8">
        <v>23.25</v>
      </c>
      <c r="I15" s="9">
        <f t="shared" si="1"/>
        <v>0</v>
      </c>
      <c r="J15" s="41">
        <f t="shared" si="2"/>
        <v>186</v>
      </c>
      <c r="K15" s="2">
        <f t="shared" si="3"/>
        <v>186</v>
      </c>
      <c r="N15" s="27"/>
      <c r="O15" s="27"/>
    </row>
    <row r="16" spans="1:15" x14ac:dyDescent="0.35">
      <c r="A16" s="4" t="s">
        <v>101</v>
      </c>
      <c r="B16" s="6">
        <v>4</v>
      </c>
      <c r="C16" s="6" t="s">
        <v>82</v>
      </c>
      <c r="D16" s="5" t="s">
        <v>15</v>
      </c>
      <c r="E16" s="6">
        <v>1</v>
      </c>
      <c r="F16" s="6">
        <v>0</v>
      </c>
      <c r="G16" s="7">
        <f t="shared" si="0"/>
        <v>1</v>
      </c>
      <c r="H16" s="8">
        <v>61.44</v>
      </c>
      <c r="I16" s="9">
        <f>G16*H16</f>
        <v>61.44</v>
      </c>
      <c r="J16" s="41">
        <f t="shared" si="2"/>
        <v>0</v>
      </c>
      <c r="K16" s="2">
        <f t="shared" si="3"/>
        <v>61.44</v>
      </c>
      <c r="N16" s="27"/>
      <c r="O16" s="27"/>
    </row>
    <row r="17" spans="1:15" x14ac:dyDescent="0.35">
      <c r="A17" s="4" t="s">
        <v>80</v>
      </c>
      <c r="B17" s="6">
        <v>4</v>
      </c>
      <c r="C17" s="6" t="s">
        <v>82</v>
      </c>
      <c r="D17" s="5" t="s">
        <v>15</v>
      </c>
      <c r="E17" s="6">
        <v>2</v>
      </c>
      <c r="F17" s="6">
        <v>0</v>
      </c>
      <c r="G17" s="7">
        <f t="shared" si="0"/>
        <v>2</v>
      </c>
      <c r="H17" s="8">
        <v>64.97</v>
      </c>
      <c r="I17" s="9">
        <f t="shared" si="1"/>
        <v>129.94</v>
      </c>
      <c r="J17" s="41">
        <f t="shared" si="2"/>
        <v>0</v>
      </c>
      <c r="K17" s="2">
        <f t="shared" si="3"/>
        <v>129.94</v>
      </c>
      <c r="N17" s="27"/>
      <c r="O17" s="27"/>
    </row>
    <row r="18" spans="1:15" hidden="1" x14ac:dyDescent="0.35">
      <c r="A18" s="4" t="s">
        <v>22</v>
      </c>
      <c r="B18" s="6">
        <v>5</v>
      </c>
      <c r="C18" s="6" t="s">
        <v>84</v>
      </c>
      <c r="D18" s="5" t="s">
        <v>23</v>
      </c>
      <c r="E18" s="6">
        <v>2</v>
      </c>
      <c r="F18" s="6">
        <v>0</v>
      </c>
      <c r="G18" s="7">
        <f t="shared" si="0"/>
        <v>2</v>
      </c>
      <c r="H18" s="8">
        <v>285</v>
      </c>
      <c r="I18" s="9">
        <f t="shared" si="1"/>
        <v>570</v>
      </c>
      <c r="J18" s="41">
        <f t="shared" si="2"/>
        <v>0</v>
      </c>
      <c r="K18" s="2">
        <f t="shared" si="3"/>
        <v>570</v>
      </c>
      <c r="N18" s="27"/>
      <c r="O18" s="27"/>
    </row>
    <row r="19" spans="1:15" x14ac:dyDescent="0.35">
      <c r="A19" s="4"/>
      <c r="B19" s="34"/>
      <c r="C19" s="34"/>
      <c r="D19" s="35"/>
      <c r="E19" s="36"/>
      <c r="F19" s="36"/>
      <c r="G19" s="37"/>
      <c r="H19" s="8"/>
      <c r="I19" s="9"/>
      <c r="J19" s="9"/>
      <c r="K19" s="9"/>
      <c r="N19" s="27"/>
      <c r="O19" s="27"/>
    </row>
    <row r="20" spans="1:15" ht="15.5" x14ac:dyDescent="0.35">
      <c r="A20" s="32" t="s">
        <v>34</v>
      </c>
      <c r="B20" s="33"/>
      <c r="C20" s="33"/>
      <c r="D20" s="33"/>
      <c r="E20" s="33"/>
      <c r="F20" s="33"/>
      <c r="G20" s="33"/>
      <c r="H20" s="10" t="s">
        <v>35</v>
      </c>
      <c r="I20" s="11">
        <f>SUBTOTAL(109,I5:I18)</f>
        <v>679.86000000000013</v>
      </c>
      <c r="J20" s="11">
        <f>SUBTOTAL(109,J5:J18)</f>
        <v>266.82</v>
      </c>
      <c r="K20" s="11">
        <f>SUBTOTAL(109,K5:K18)</f>
        <v>946.68000000000006</v>
      </c>
    </row>
    <row r="22" spans="1:15" x14ac:dyDescent="0.35">
      <c r="A22" s="54" t="s">
        <v>36</v>
      </c>
      <c r="B22" s="55"/>
      <c r="C22" s="55"/>
      <c r="D22" s="50"/>
      <c r="E22" s="50"/>
      <c r="F22" s="50"/>
      <c r="G22" s="50"/>
      <c r="H22" s="50"/>
      <c r="I22" s="50"/>
      <c r="J22" s="50"/>
      <c r="K22" s="50"/>
    </row>
    <row r="23" spans="1:15" ht="15.5" x14ac:dyDescent="0.35">
      <c r="A23" s="51" t="s">
        <v>37</v>
      </c>
      <c r="B23" s="52"/>
      <c r="C23" s="52"/>
      <c r="D23" s="52"/>
      <c r="E23" s="52"/>
      <c r="F23" s="52"/>
      <c r="G23" s="52"/>
      <c r="H23" s="52"/>
      <c r="I23" s="52"/>
      <c r="J23" s="53"/>
      <c r="K23" s="12">
        <f>K20</f>
        <v>946.68000000000006</v>
      </c>
    </row>
    <row r="24" spans="1:15" ht="15.5" x14ac:dyDescent="0.35">
      <c r="A24" s="51" t="s">
        <v>38</v>
      </c>
      <c r="B24" s="52"/>
      <c r="C24" s="52"/>
      <c r="D24" s="52"/>
      <c r="E24" s="52"/>
      <c r="F24" s="52"/>
      <c r="G24" s="52"/>
      <c r="H24" s="52"/>
      <c r="I24" s="52"/>
      <c r="J24" s="53"/>
      <c r="K24" s="13">
        <f>J20</f>
        <v>266.82</v>
      </c>
    </row>
    <row r="25" spans="1:15" ht="15.5" x14ac:dyDescent="0.35">
      <c r="A25" s="51" t="s">
        <v>39</v>
      </c>
      <c r="B25" s="52"/>
      <c r="C25" s="52"/>
      <c r="D25" s="52"/>
      <c r="E25" s="52"/>
      <c r="F25" s="52"/>
      <c r="G25" s="52"/>
      <c r="H25" s="52"/>
      <c r="I25" s="52"/>
      <c r="J25" s="53"/>
      <c r="K25" s="12">
        <f>K23-K24</f>
        <v>679.86000000000013</v>
      </c>
    </row>
    <row r="27" spans="1:15" x14ac:dyDescent="0.35">
      <c r="A27" s="48" t="s">
        <v>40</v>
      </c>
      <c r="B27" s="49"/>
      <c r="C27" s="49"/>
      <c r="D27" s="50"/>
      <c r="E27" s="50"/>
      <c r="F27" s="50"/>
      <c r="G27" s="50"/>
      <c r="H27" s="50"/>
      <c r="I27" s="50"/>
      <c r="J27" s="50"/>
      <c r="K27" s="50"/>
    </row>
    <row r="29" spans="1:15" x14ac:dyDescent="0.35">
      <c r="J29" s="44"/>
      <c r="K29" s="43">
        <f>SUMIF($D$5:$D$18,J29,$I$5:$I$18)</f>
        <v>0</v>
      </c>
    </row>
    <row r="30" spans="1:15" x14ac:dyDescent="0.35">
      <c r="J30" s="44" t="s">
        <v>14</v>
      </c>
      <c r="K30" s="43">
        <f>SUMIF($D$5:$D$18,J30,$I$5:$I$18)</f>
        <v>187.06</v>
      </c>
    </row>
    <row r="31" spans="1:15" x14ac:dyDescent="0.35">
      <c r="J31" s="46" t="s">
        <v>15</v>
      </c>
      <c r="K31" s="47">
        <f>SUMIF($D$5:$D$18,J31,$I$5:$I$18)</f>
        <v>492.8</v>
      </c>
    </row>
    <row r="32" spans="1:15" x14ac:dyDescent="0.35">
      <c r="J32"/>
      <c r="K32" s="45">
        <f>SUM(K29:K31)</f>
        <v>679.86</v>
      </c>
    </row>
  </sheetData>
  <autoFilter ref="A4:I18" xr:uid="{44F60687-3931-4551-ABBC-9C01622620C5}">
    <filterColumn colId="3">
      <filters>
        <filter val="Amazon"/>
        <filter val="Bora"/>
        <filter val="Lowes"/>
      </filters>
    </filterColumn>
  </autoFilter>
  <mergeCells count="7">
    <mergeCell ref="A1:K1"/>
    <mergeCell ref="A2:K2"/>
    <mergeCell ref="A27:K27"/>
    <mergeCell ref="A23:J23"/>
    <mergeCell ref="A24:J24"/>
    <mergeCell ref="A25:J25"/>
    <mergeCell ref="A22:K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zoomScale="140" zoomScaleNormal="140" workbookViewId="0">
      <pane ySplit="4" topLeftCell="A5" activePane="bottomLeft" state="frozen"/>
      <selection pane="bottomLeft" activeCell="I11" sqref="I11"/>
    </sheetView>
  </sheetViews>
  <sheetFormatPr defaultRowHeight="14.5" x14ac:dyDescent="0.35"/>
  <cols>
    <col min="1" max="1" width="34" customWidth="1"/>
    <col min="2" max="2" width="14.54296875" bestFit="1" customWidth="1"/>
    <col min="3" max="3" width="18" style="28" customWidth="1"/>
    <col min="4" max="6" width="14" style="28" customWidth="1"/>
    <col min="7" max="7" width="13" style="31" customWidth="1"/>
    <col min="8" max="9" width="15" style="31" customWidth="1"/>
    <col min="10" max="10" width="17" style="31" customWidth="1"/>
    <col min="12" max="12" width="28.453125" bestFit="1" customWidth="1"/>
  </cols>
  <sheetData>
    <row r="1" spans="1:14" ht="19.5" x14ac:dyDescent="0.35">
      <c r="A1" s="56" t="s">
        <v>0</v>
      </c>
      <c r="B1" s="56"/>
      <c r="C1" s="50"/>
      <c r="D1" s="50"/>
      <c r="E1" s="50"/>
      <c r="F1" s="50"/>
      <c r="G1" s="50"/>
      <c r="H1" s="50"/>
      <c r="I1" s="50"/>
      <c r="J1" s="50"/>
    </row>
    <row r="2" spans="1:14" x14ac:dyDescent="0.35">
      <c r="A2" s="57" t="s">
        <v>1</v>
      </c>
      <c r="B2" s="57"/>
      <c r="C2" s="50"/>
      <c r="D2" s="50"/>
      <c r="E2" s="50"/>
      <c r="F2" s="50"/>
      <c r="G2" s="50"/>
      <c r="H2" s="50"/>
      <c r="I2" s="50"/>
      <c r="J2" s="50"/>
    </row>
    <row r="4" spans="1:14" ht="26" x14ac:dyDescent="0.35">
      <c r="A4" s="1" t="s">
        <v>2</v>
      </c>
      <c r="B4" s="1"/>
      <c r="C4" s="1" t="s">
        <v>3</v>
      </c>
      <c r="D4" s="1" t="s">
        <v>4</v>
      </c>
      <c r="E4" s="1" t="s">
        <v>5</v>
      </c>
      <c r="F4" s="1" t="s">
        <v>6</v>
      </c>
      <c r="G4" s="29" t="s">
        <v>7</v>
      </c>
      <c r="H4" s="29" t="s">
        <v>78</v>
      </c>
      <c r="I4" s="29" t="s">
        <v>8</v>
      </c>
      <c r="J4" s="29" t="s">
        <v>77</v>
      </c>
    </row>
    <row r="5" spans="1:14" x14ac:dyDescent="0.35">
      <c r="A5" s="58" t="s">
        <v>9</v>
      </c>
      <c r="B5" s="59"/>
      <c r="C5" s="50"/>
      <c r="D5" s="50"/>
      <c r="E5" s="50"/>
      <c r="F5" s="50"/>
      <c r="G5" s="50"/>
      <c r="H5" s="50"/>
      <c r="I5" s="50"/>
      <c r="J5" s="50"/>
    </row>
    <row r="6" spans="1:14" x14ac:dyDescent="0.35">
      <c r="A6" s="4" t="s">
        <v>10</v>
      </c>
      <c r="B6" s="4" t="s">
        <v>81</v>
      </c>
      <c r="C6" s="5" t="s">
        <v>11</v>
      </c>
      <c r="D6" s="6">
        <f>'Wall Calculations'!B16</f>
        <v>7</v>
      </c>
      <c r="E6" s="6">
        <v>0</v>
      </c>
      <c r="F6" s="7">
        <f>MAX(D6-E6,0)</f>
        <v>7</v>
      </c>
      <c r="G6" s="8">
        <v>14.98</v>
      </c>
      <c r="H6" s="9">
        <f>F6*G6</f>
        <v>104.86</v>
      </c>
      <c r="I6" s="3">
        <f>E6*G6</f>
        <v>0</v>
      </c>
      <c r="J6" s="2">
        <f>D6*G6</f>
        <v>104.86</v>
      </c>
      <c r="M6" s="27"/>
      <c r="N6" s="27"/>
    </row>
    <row r="7" spans="1:14" x14ac:dyDescent="0.35">
      <c r="A7" s="58" t="s">
        <v>12</v>
      </c>
      <c r="B7" s="59"/>
      <c r="C7" s="50"/>
      <c r="D7" s="50"/>
      <c r="E7" s="50"/>
      <c r="F7" s="50"/>
      <c r="G7" s="50"/>
      <c r="H7" s="50"/>
      <c r="I7" s="50"/>
      <c r="J7" s="50"/>
    </row>
    <row r="8" spans="1:14" x14ac:dyDescent="0.35">
      <c r="A8" s="4" t="s">
        <v>13</v>
      </c>
      <c r="B8" s="4" t="s">
        <v>82</v>
      </c>
      <c r="C8" s="5" t="s">
        <v>14</v>
      </c>
      <c r="D8" s="6">
        <v>8</v>
      </c>
      <c r="E8" s="6">
        <v>8</v>
      </c>
      <c r="F8" s="7">
        <f>MAX(D8-E8,0)</f>
        <v>0</v>
      </c>
      <c r="G8" s="8">
        <v>23.25</v>
      </c>
      <c r="H8" s="9">
        <f>F8*G8</f>
        <v>0</v>
      </c>
      <c r="I8" s="3">
        <f t="shared" ref="I8:I9" si="0">E8*G8</f>
        <v>186</v>
      </c>
      <c r="J8" s="2">
        <f>D8*G8</f>
        <v>186</v>
      </c>
      <c r="M8" s="27"/>
      <c r="N8" s="27"/>
    </row>
    <row r="9" spans="1:14" x14ac:dyDescent="0.35">
      <c r="A9" s="4" t="s">
        <v>80</v>
      </c>
      <c r="B9" s="4" t="s">
        <v>82</v>
      </c>
      <c r="C9" s="5" t="s">
        <v>15</v>
      </c>
      <c r="D9" s="6">
        <v>2</v>
      </c>
      <c r="E9" s="6">
        <v>0</v>
      </c>
      <c r="F9" s="7">
        <f>MAX(D9-E9,0)</f>
        <v>2</v>
      </c>
      <c r="G9" s="8">
        <v>64.97</v>
      </c>
      <c r="H9" s="9">
        <f>F9*G9</f>
        <v>129.94</v>
      </c>
      <c r="I9" s="3">
        <f t="shared" si="0"/>
        <v>0</v>
      </c>
      <c r="J9" s="2">
        <f>D9*G9</f>
        <v>129.94</v>
      </c>
      <c r="M9" s="27"/>
      <c r="N9" s="27"/>
    </row>
    <row r="10" spans="1:14" x14ac:dyDescent="0.35">
      <c r="A10" s="58" t="s">
        <v>16</v>
      </c>
      <c r="B10" s="59"/>
      <c r="C10" s="50"/>
      <c r="D10" s="50"/>
      <c r="E10" s="50"/>
      <c r="F10" s="50"/>
      <c r="G10" s="50"/>
      <c r="H10" s="50"/>
      <c r="I10" s="50"/>
      <c r="J10" s="50"/>
      <c r="M10" s="27"/>
      <c r="N10" s="27"/>
    </row>
    <row r="11" spans="1:14" x14ac:dyDescent="0.35">
      <c r="A11" s="4" t="s">
        <v>17</v>
      </c>
      <c r="B11" s="4" t="s">
        <v>83</v>
      </c>
      <c r="C11" s="5" t="s">
        <v>14</v>
      </c>
      <c r="D11" s="6">
        <v>2</v>
      </c>
      <c r="E11" s="6">
        <v>0</v>
      </c>
      <c r="F11" s="7">
        <f>MAX(D11-E11,0)</f>
        <v>2</v>
      </c>
      <c r="G11" s="8">
        <v>37.950000000000003</v>
      </c>
      <c r="H11" s="9">
        <f>F11*G11</f>
        <v>75.900000000000006</v>
      </c>
      <c r="I11" s="3">
        <f t="shared" ref="I11:I13" si="1">E11*G11</f>
        <v>0</v>
      </c>
      <c r="J11" s="2">
        <f>D11*G11</f>
        <v>75.900000000000006</v>
      </c>
      <c r="M11" s="27"/>
      <c r="N11" s="27"/>
    </row>
    <row r="12" spans="1:14" x14ac:dyDescent="0.35">
      <c r="A12" s="4" t="s">
        <v>79</v>
      </c>
      <c r="B12" s="4" t="s">
        <v>83</v>
      </c>
      <c r="C12" s="5" t="s">
        <v>15</v>
      </c>
      <c r="D12" s="6">
        <v>1</v>
      </c>
      <c r="E12" s="6">
        <v>0</v>
      </c>
      <c r="F12" s="7">
        <f>MAX(D12-E12,0)</f>
        <v>1</v>
      </c>
      <c r="G12" s="8">
        <v>64.97</v>
      </c>
      <c r="H12" s="9">
        <f>F12*G12</f>
        <v>64.97</v>
      </c>
      <c r="I12" s="3">
        <f t="shared" si="1"/>
        <v>0</v>
      </c>
      <c r="J12" s="2">
        <f>D12*G12</f>
        <v>64.97</v>
      </c>
      <c r="M12" s="27"/>
      <c r="N12" s="27"/>
    </row>
    <row r="13" spans="1:14" x14ac:dyDescent="0.35">
      <c r="A13" s="4" t="s">
        <v>18</v>
      </c>
      <c r="B13" s="4" t="s">
        <v>83</v>
      </c>
      <c r="C13" s="5" t="s">
        <v>14</v>
      </c>
      <c r="D13" s="6">
        <v>1</v>
      </c>
      <c r="E13" s="6">
        <v>0</v>
      </c>
      <c r="F13" s="7">
        <f>MAX(D13-E13,0)</f>
        <v>1</v>
      </c>
      <c r="G13" s="8">
        <v>42.49</v>
      </c>
      <c r="H13" s="9">
        <f>F13*G13</f>
        <v>42.49</v>
      </c>
      <c r="I13" s="3">
        <f t="shared" si="1"/>
        <v>0</v>
      </c>
      <c r="J13" s="2">
        <f>D13*G13</f>
        <v>42.49</v>
      </c>
      <c r="M13" s="27"/>
      <c r="N13" s="27"/>
    </row>
    <row r="14" spans="1:14" x14ac:dyDescent="0.35">
      <c r="A14" s="58" t="s">
        <v>19</v>
      </c>
      <c r="B14" s="59"/>
      <c r="C14" s="50"/>
      <c r="D14" s="50"/>
      <c r="E14" s="50"/>
      <c r="F14" s="50"/>
      <c r="G14" s="50"/>
      <c r="H14" s="50"/>
      <c r="I14" s="50"/>
      <c r="J14" s="50"/>
      <c r="M14" s="27"/>
      <c r="N14" s="27"/>
    </row>
    <row r="15" spans="1:14" x14ac:dyDescent="0.35">
      <c r="A15" s="4" t="s">
        <v>20</v>
      </c>
      <c r="B15" s="4" t="s">
        <v>84</v>
      </c>
      <c r="C15" s="5" t="s">
        <v>15</v>
      </c>
      <c r="D15" s="6">
        <v>15</v>
      </c>
      <c r="E15" s="6">
        <v>9</v>
      </c>
      <c r="F15" s="7">
        <f>MAX(D15-E15,0)</f>
        <v>6</v>
      </c>
      <c r="G15" s="8">
        <v>8.98</v>
      </c>
      <c r="H15" s="9">
        <f>F15*G15</f>
        <v>53.88</v>
      </c>
      <c r="I15" s="3">
        <f>E15*G15</f>
        <v>80.820000000000007</v>
      </c>
      <c r="J15" s="2">
        <f>D15*G15</f>
        <v>134.70000000000002</v>
      </c>
      <c r="M15" s="27"/>
      <c r="N15" s="27"/>
    </row>
    <row r="16" spans="1:14" x14ac:dyDescent="0.35">
      <c r="A16" s="58" t="s">
        <v>21</v>
      </c>
      <c r="B16" s="59"/>
      <c r="C16" s="50"/>
      <c r="D16" s="50"/>
      <c r="E16" s="50"/>
      <c r="F16" s="50"/>
      <c r="G16" s="50"/>
      <c r="H16" s="50"/>
      <c r="I16" s="50"/>
      <c r="J16" s="50"/>
    </row>
    <row r="17" spans="1:14" x14ac:dyDescent="0.35">
      <c r="A17" s="4" t="s">
        <v>22</v>
      </c>
      <c r="B17" s="4" t="s">
        <v>84</v>
      </c>
      <c r="C17" s="5" t="s">
        <v>23</v>
      </c>
      <c r="D17" s="6">
        <v>2</v>
      </c>
      <c r="E17" s="6">
        <v>0</v>
      </c>
      <c r="F17" s="7">
        <f>MAX(D17-E17,0)</f>
        <v>2</v>
      </c>
      <c r="G17" s="8">
        <v>285</v>
      </c>
      <c r="H17" s="9">
        <f>F17*G17</f>
        <v>570</v>
      </c>
      <c r="I17" s="3">
        <f>E17*G17</f>
        <v>0</v>
      </c>
      <c r="J17" s="2">
        <f>D17*G17</f>
        <v>570</v>
      </c>
      <c r="M17" s="27"/>
      <c r="N17" s="27"/>
    </row>
    <row r="18" spans="1:14" x14ac:dyDescent="0.35">
      <c r="A18" s="58" t="s">
        <v>24</v>
      </c>
      <c r="B18" s="59"/>
      <c r="C18" s="50"/>
      <c r="D18" s="50"/>
      <c r="E18" s="50"/>
      <c r="F18" s="50"/>
      <c r="G18" s="50"/>
      <c r="H18" s="50"/>
      <c r="I18" s="50"/>
      <c r="J18" s="50"/>
    </row>
    <row r="19" spans="1:14" x14ac:dyDescent="0.35">
      <c r="A19" s="4" t="s">
        <v>25</v>
      </c>
      <c r="B19" s="4" t="s">
        <v>84</v>
      </c>
      <c r="C19" s="5" t="s">
        <v>26</v>
      </c>
      <c r="D19" s="6">
        <v>6</v>
      </c>
      <c r="E19" s="6">
        <v>6</v>
      </c>
      <c r="F19" s="7">
        <f>MAX(D19-E19,0)</f>
        <v>0</v>
      </c>
      <c r="G19" s="8">
        <v>0</v>
      </c>
      <c r="H19" s="9">
        <f>F19*G19</f>
        <v>0</v>
      </c>
      <c r="I19" s="3">
        <f>E19*G19</f>
        <v>0</v>
      </c>
      <c r="J19" s="2">
        <f>D19*G19</f>
        <v>0</v>
      </c>
      <c r="M19" s="27"/>
      <c r="N19" s="27"/>
    </row>
    <row r="20" spans="1:14" x14ac:dyDescent="0.35">
      <c r="A20" s="58" t="s">
        <v>27</v>
      </c>
      <c r="B20" s="59"/>
      <c r="C20" s="50"/>
      <c r="D20" s="50"/>
      <c r="E20" s="50"/>
      <c r="F20" s="50"/>
      <c r="G20" s="50"/>
      <c r="H20" s="50"/>
      <c r="I20" s="50"/>
      <c r="J20" s="50"/>
    </row>
    <row r="21" spans="1:14" x14ac:dyDescent="0.35">
      <c r="A21" s="4" t="s">
        <v>28</v>
      </c>
      <c r="B21" s="4" t="s">
        <v>85</v>
      </c>
      <c r="C21" s="5" t="s">
        <v>29</v>
      </c>
      <c r="D21" s="6">
        <v>2</v>
      </c>
      <c r="E21" s="6">
        <v>0</v>
      </c>
      <c r="F21" s="7">
        <v>1</v>
      </c>
      <c r="G21" s="8">
        <v>22.99</v>
      </c>
      <c r="H21" s="9">
        <f>F21*G21</f>
        <v>22.99</v>
      </c>
      <c r="I21" s="3">
        <f t="shared" ref="I21:I25" si="2">E21*G21</f>
        <v>0</v>
      </c>
      <c r="J21" s="2">
        <f>D21*G21</f>
        <v>45.98</v>
      </c>
      <c r="M21" s="27"/>
      <c r="N21" s="27"/>
    </row>
    <row r="22" spans="1:14" x14ac:dyDescent="0.35">
      <c r="A22" s="4" t="s">
        <v>30</v>
      </c>
      <c r="B22" s="4" t="s">
        <v>85</v>
      </c>
      <c r="C22" s="5" t="s">
        <v>15</v>
      </c>
      <c r="D22" s="6">
        <v>1</v>
      </c>
      <c r="E22" s="6">
        <v>0</v>
      </c>
      <c r="F22" s="7">
        <v>0</v>
      </c>
      <c r="G22" s="8">
        <v>18.489999999999998</v>
      </c>
      <c r="H22" s="9">
        <f>F22*G22</f>
        <v>0</v>
      </c>
      <c r="I22" s="3">
        <f t="shared" si="2"/>
        <v>0</v>
      </c>
      <c r="J22" s="2">
        <f>D22*G22</f>
        <v>18.489999999999998</v>
      </c>
      <c r="M22" s="27"/>
      <c r="N22" s="27"/>
    </row>
    <row r="23" spans="1:14" x14ac:dyDescent="0.35">
      <c r="A23" s="4" t="s">
        <v>31</v>
      </c>
      <c r="B23" s="4" t="s">
        <v>85</v>
      </c>
      <c r="C23" s="5" t="s">
        <v>15</v>
      </c>
      <c r="D23" s="6">
        <v>2</v>
      </c>
      <c r="E23" s="6">
        <v>0</v>
      </c>
      <c r="F23" s="7">
        <f>MAX(D23-E23,0)</f>
        <v>2</v>
      </c>
      <c r="G23" s="8">
        <v>11.97</v>
      </c>
      <c r="H23" s="9">
        <f>F23*G23</f>
        <v>23.94</v>
      </c>
      <c r="I23" s="3">
        <f t="shared" si="2"/>
        <v>0</v>
      </c>
      <c r="J23" s="2">
        <f t="shared" ref="J23:J25" si="3">D23*G23</f>
        <v>23.94</v>
      </c>
      <c r="M23" s="27"/>
      <c r="N23" s="27"/>
    </row>
    <row r="24" spans="1:14" x14ac:dyDescent="0.35">
      <c r="A24" s="4" t="s">
        <v>32</v>
      </c>
      <c r="B24" s="4" t="s">
        <v>85</v>
      </c>
      <c r="C24" s="5" t="s">
        <v>15</v>
      </c>
      <c r="D24" s="6">
        <v>1</v>
      </c>
      <c r="E24" s="6">
        <v>0</v>
      </c>
      <c r="F24" s="7">
        <v>0</v>
      </c>
      <c r="G24" s="8">
        <v>14.97</v>
      </c>
      <c r="H24" s="9">
        <f>F24*G24</f>
        <v>0</v>
      </c>
      <c r="I24" s="3">
        <f t="shared" si="2"/>
        <v>0</v>
      </c>
      <c r="J24" s="2">
        <f t="shared" si="3"/>
        <v>14.97</v>
      </c>
      <c r="M24" s="27"/>
      <c r="N24" s="27"/>
    </row>
    <row r="25" spans="1:14" x14ac:dyDescent="0.35">
      <c r="A25" s="4" t="s">
        <v>33</v>
      </c>
      <c r="B25" s="4" t="s">
        <v>85</v>
      </c>
      <c r="C25" s="5" t="s">
        <v>15</v>
      </c>
      <c r="D25" s="6">
        <v>2</v>
      </c>
      <c r="E25" s="6">
        <v>0</v>
      </c>
      <c r="F25" s="7">
        <f>MAX(D25-E25,0)</f>
        <v>2</v>
      </c>
      <c r="G25" s="8">
        <v>7.49</v>
      </c>
      <c r="H25" s="9">
        <f>F25*G25</f>
        <v>14.98</v>
      </c>
      <c r="I25" s="3">
        <f t="shared" si="2"/>
        <v>0</v>
      </c>
      <c r="J25" s="2">
        <f t="shared" si="3"/>
        <v>14.98</v>
      </c>
      <c r="M25" s="27"/>
      <c r="N25" s="27"/>
    </row>
    <row r="26" spans="1:14" ht="15.5" x14ac:dyDescent="0.35">
      <c r="A26" s="60" t="s">
        <v>34</v>
      </c>
      <c r="B26" s="61"/>
      <c r="C26" s="50"/>
      <c r="D26" s="50"/>
      <c r="E26" s="50"/>
      <c r="F26" s="50"/>
      <c r="G26" s="10" t="s">
        <v>35</v>
      </c>
      <c r="H26" s="11">
        <f>H6+H8+H9+H11+H13+H15+H17+H19+H21+H22+H23+H24+H25</f>
        <v>1038.98</v>
      </c>
      <c r="I26" s="11">
        <f t="shared" ref="I26:J26" si="4">I6+I8+I9+I11+I13+I15+I17+I19+I21+I22+I23+I24+I25</f>
        <v>266.82</v>
      </c>
      <c r="J26" s="11">
        <f t="shared" si="4"/>
        <v>1362.2500000000002</v>
      </c>
    </row>
    <row r="28" spans="1:14" x14ac:dyDescent="0.35">
      <c r="A28" s="54" t="s">
        <v>36</v>
      </c>
      <c r="B28" s="55"/>
      <c r="C28" s="50"/>
      <c r="D28" s="50"/>
      <c r="E28" s="50"/>
      <c r="F28" s="50"/>
      <c r="G28" s="50"/>
      <c r="H28" s="50"/>
      <c r="I28" s="50"/>
      <c r="J28" s="50"/>
    </row>
    <row r="29" spans="1:14" ht="15.5" x14ac:dyDescent="0.35">
      <c r="A29" s="62" t="s">
        <v>37</v>
      </c>
      <c r="B29" s="63"/>
      <c r="C29" s="50"/>
      <c r="D29" s="50"/>
      <c r="E29" s="50"/>
      <c r="F29" s="50"/>
      <c r="G29" s="50"/>
      <c r="H29" s="12">
        <f>H26</f>
        <v>1038.98</v>
      </c>
      <c r="I29" s="30"/>
      <c r="J29" s="30"/>
    </row>
    <row r="30" spans="1:14" ht="15.5" x14ac:dyDescent="0.35">
      <c r="A30" s="62" t="s">
        <v>38</v>
      </c>
      <c r="B30" s="63"/>
      <c r="C30" s="50"/>
      <c r="D30" s="50"/>
      <c r="E30" s="50"/>
      <c r="F30" s="50"/>
      <c r="G30" s="50"/>
      <c r="H30" s="13">
        <f>I26</f>
        <v>266.82</v>
      </c>
      <c r="I30" s="30"/>
      <c r="J30" s="30"/>
    </row>
    <row r="31" spans="1:14" ht="15.5" x14ac:dyDescent="0.35">
      <c r="A31" s="62" t="s">
        <v>39</v>
      </c>
      <c r="B31" s="63"/>
      <c r="C31" s="50"/>
      <c r="D31" s="50"/>
      <c r="E31" s="50"/>
      <c r="F31" s="50"/>
      <c r="G31" s="50"/>
      <c r="H31" s="12">
        <f>H26-I26</f>
        <v>772.16000000000008</v>
      </c>
      <c r="I31" s="30"/>
      <c r="J31" s="30"/>
    </row>
    <row r="33" spans="1:10" x14ac:dyDescent="0.35">
      <c r="A33" s="48" t="s">
        <v>40</v>
      </c>
      <c r="B33" s="49"/>
      <c r="C33" s="50"/>
      <c r="D33" s="50"/>
      <c r="E33" s="50"/>
      <c r="F33" s="50"/>
      <c r="G33" s="50"/>
      <c r="H33" s="50"/>
      <c r="I33" s="50"/>
      <c r="J33" s="50"/>
    </row>
  </sheetData>
  <autoFilter ref="A4:J26" xr:uid="{00000000-0001-0000-0000-000000000000}"/>
  <mergeCells count="15">
    <mergeCell ref="A33:J33"/>
    <mergeCell ref="A14:J14"/>
    <mergeCell ref="A26:F26"/>
    <mergeCell ref="A1:J1"/>
    <mergeCell ref="A18:J18"/>
    <mergeCell ref="A28:J28"/>
    <mergeCell ref="A31:G31"/>
    <mergeCell ref="A30:G30"/>
    <mergeCell ref="A16:J16"/>
    <mergeCell ref="A7:J7"/>
    <mergeCell ref="A2:J2"/>
    <mergeCell ref="A20:J20"/>
    <mergeCell ref="A29:G29"/>
    <mergeCell ref="A10:J10"/>
    <mergeCell ref="A5:J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abSelected="1" workbookViewId="0">
      <pane ySplit="3" topLeftCell="A4" activePane="bottomLeft" state="frozen"/>
      <selection pane="bottomLeft" activeCell="D7" sqref="D7"/>
    </sheetView>
  </sheetViews>
  <sheetFormatPr defaultRowHeight="14.5" x14ac:dyDescent="0.35"/>
  <cols>
    <col min="1" max="1" width="38" customWidth="1"/>
    <col min="2" max="2" width="18" customWidth="1"/>
    <col min="3" max="3" width="22" customWidth="1"/>
    <col min="4" max="4" width="30" customWidth="1"/>
  </cols>
  <sheetData>
    <row r="1" spans="1:4" ht="36" customHeight="1" x14ac:dyDescent="0.35">
      <c r="A1" s="64" t="s">
        <v>41</v>
      </c>
      <c r="B1" s="50"/>
      <c r="C1" s="50"/>
      <c r="D1" s="50"/>
    </row>
    <row r="2" spans="1:4" ht="20" customHeight="1" x14ac:dyDescent="0.35">
      <c r="A2" s="57" t="s">
        <v>42</v>
      </c>
      <c r="B2" s="50"/>
      <c r="C2" s="50"/>
      <c r="D2" s="50"/>
    </row>
    <row r="3" spans="1:4" ht="24" customHeight="1" x14ac:dyDescent="0.35">
      <c r="A3" s="14" t="s">
        <v>43</v>
      </c>
      <c r="B3" s="14" t="s">
        <v>44</v>
      </c>
      <c r="C3" s="14" t="s">
        <v>45</v>
      </c>
      <c r="D3" s="14" t="s">
        <v>46</v>
      </c>
    </row>
    <row r="4" spans="1:4" ht="22" customHeight="1" x14ac:dyDescent="0.35">
      <c r="A4" s="65" t="s">
        <v>47</v>
      </c>
      <c r="B4" s="50"/>
      <c r="C4" s="50"/>
      <c r="D4" s="50"/>
    </row>
    <row r="5" spans="1:4" ht="22" customHeight="1" x14ac:dyDescent="0.35">
      <c r="A5" s="4" t="s">
        <v>48</v>
      </c>
      <c r="B5" s="15">
        <v>9.5</v>
      </c>
      <c r="C5" s="16"/>
      <c r="D5" s="17" t="s">
        <v>49</v>
      </c>
    </row>
    <row r="6" spans="1:4" ht="22" customHeight="1" x14ac:dyDescent="0.35">
      <c r="A6" s="18" t="s">
        <v>50</v>
      </c>
      <c r="B6" s="19">
        <v>19</v>
      </c>
      <c r="C6" s="20"/>
      <c r="D6" s="21" t="s">
        <v>51</v>
      </c>
    </row>
    <row r="7" spans="1:4" ht="22" customHeight="1" x14ac:dyDescent="0.35">
      <c r="A7" s="4" t="s">
        <v>52</v>
      </c>
      <c r="B7" s="7">
        <f>B5*B6</f>
        <v>180.5</v>
      </c>
      <c r="C7" s="16" t="str">
        <f>TEXT(B7,"0.00")</f>
        <v>180.50</v>
      </c>
      <c r="D7" s="17" t="s">
        <v>53</v>
      </c>
    </row>
    <row r="8" spans="1:4" ht="22" customHeight="1" x14ac:dyDescent="0.35">
      <c r="A8" s="65" t="s">
        <v>54</v>
      </c>
      <c r="B8" s="50"/>
      <c r="C8" s="50"/>
      <c r="D8" s="50"/>
    </row>
    <row r="9" spans="1:4" ht="22" customHeight="1" x14ac:dyDescent="0.35">
      <c r="A9" s="4" t="s">
        <v>55</v>
      </c>
      <c r="B9" s="15">
        <v>4</v>
      </c>
      <c r="C9" s="16"/>
      <c r="D9" s="17" t="s">
        <v>56</v>
      </c>
    </row>
    <row r="10" spans="1:4" ht="22" customHeight="1" x14ac:dyDescent="0.35">
      <c r="A10" s="18" t="s">
        <v>57</v>
      </c>
      <c r="B10" s="19">
        <v>8</v>
      </c>
      <c r="C10" s="20"/>
      <c r="D10" s="21" t="s">
        <v>58</v>
      </c>
    </row>
    <row r="11" spans="1:4" ht="22" customHeight="1" x14ac:dyDescent="0.35">
      <c r="A11" s="4" t="s">
        <v>59</v>
      </c>
      <c r="B11" s="7">
        <f>B9*B10</f>
        <v>32</v>
      </c>
      <c r="C11" s="16" t="str">
        <f>TEXT(B11,"0.00")</f>
        <v>32.00</v>
      </c>
      <c r="D11" s="17" t="s">
        <v>60</v>
      </c>
    </row>
    <row r="12" spans="1:4" ht="22" customHeight="1" x14ac:dyDescent="0.35">
      <c r="A12" s="65" t="s">
        <v>61</v>
      </c>
      <c r="B12" s="50"/>
      <c r="C12" s="50"/>
      <c r="D12" s="50"/>
    </row>
    <row r="13" spans="1:4" ht="22" customHeight="1" x14ac:dyDescent="0.35">
      <c r="A13" s="4" t="s">
        <v>62</v>
      </c>
      <c r="B13" s="7">
        <f>B7/B11</f>
        <v>5.640625</v>
      </c>
      <c r="C13" s="16" t="str">
        <f>TEXT(B13,"0.00")</f>
        <v>5.64</v>
      </c>
      <c r="D13" s="17" t="s">
        <v>63</v>
      </c>
    </row>
    <row r="14" spans="1:4" ht="22" customHeight="1" x14ac:dyDescent="0.35">
      <c r="A14" s="18" t="s">
        <v>64</v>
      </c>
      <c r="B14" s="19">
        <v>0.1</v>
      </c>
      <c r="C14" s="20"/>
      <c r="D14" s="21" t="s">
        <v>65</v>
      </c>
    </row>
    <row r="15" spans="1:4" ht="22" customHeight="1" x14ac:dyDescent="0.35">
      <c r="A15" s="4" t="s">
        <v>66</v>
      </c>
      <c r="B15" s="7">
        <f>B13*(1+B14)</f>
        <v>6.2046875000000004</v>
      </c>
      <c r="C15" s="16" t="str">
        <f>TEXT(B15,"0.00")</f>
        <v>6.20</v>
      </c>
      <c r="D15" s="17" t="s">
        <v>67</v>
      </c>
    </row>
    <row r="16" spans="1:4" ht="28" customHeight="1" x14ac:dyDescent="0.35">
      <c r="A16" s="22" t="s">
        <v>68</v>
      </c>
      <c r="B16" s="23">
        <f>ROUNDUP(B15,0)</f>
        <v>7</v>
      </c>
      <c r="C16" s="24" t="str">
        <f>TEXT(B16,"0.00")</f>
        <v>7.00</v>
      </c>
      <c r="D16" s="25" t="s">
        <v>69</v>
      </c>
    </row>
    <row r="18" spans="1:4" ht="22" customHeight="1" x14ac:dyDescent="0.35">
      <c r="A18" s="65" t="s">
        <v>70</v>
      </c>
      <c r="B18" s="50"/>
      <c r="C18" s="50"/>
      <c r="D18" s="50"/>
    </row>
    <row r="19" spans="1:4" ht="22" customHeight="1" x14ac:dyDescent="0.35">
      <c r="A19" s="4" t="s">
        <v>71</v>
      </c>
      <c r="B19" s="7">
        <f>CEILING(B6/B9,1)</f>
        <v>5</v>
      </c>
      <c r="C19" s="16" t="str">
        <f>TEXT(B19,"0.00")</f>
        <v>5.00</v>
      </c>
      <c r="D19" s="17" t="s">
        <v>72</v>
      </c>
    </row>
    <row r="20" spans="1:4" ht="22" customHeight="1" x14ac:dyDescent="0.35">
      <c r="A20" s="18" t="s">
        <v>73</v>
      </c>
      <c r="B20" s="26">
        <f>CEILING(B5/B10,1)</f>
        <v>2</v>
      </c>
      <c r="C20" s="20" t="str">
        <f>TEXT(B20,"0.00")</f>
        <v>2.00</v>
      </c>
      <c r="D20" s="21" t="s">
        <v>74</v>
      </c>
    </row>
    <row r="21" spans="1:4" ht="22" customHeight="1" x14ac:dyDescent="0.35">
      <c r="A21" s="4" t="s">
        <v>75</v>
      </c>
      <c r="B21" s="7">
        <f>B5-(FLOOR(B5/B10,1)*B10)</f>
        <v>1.5</v>
      </c>
      <c r="C21" s="16" t="str">
        <f>TEXT(B21,"0.00")</f>
        <v>1.50</v>
      </c>
      <c r="D21" s="17" t="s">
        <v>76</v>
      </c>
    </row>
  </sheetData>
  <mergeCells count="6">
    <mergeCell ref="A1:D1"/>
    <mergeCell ref="A18:D18"/>
    <mergeCell ref="A8:D8"/>
    <mergeCell ref="A12:D12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</vt:lpstr>
      <vt:lpstr>pivot</vt:lpstr>
      <vt:lpstr>Budget</vt:lpstr>
      <vt:lpstr>Materials &amp; Budget</vt:lpstr>
      <vt:lpstr>Wall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Bozzone</cp:lastModifiedBy>
  <dcterms:created xsi:type="dcterms:W3CDTF">2026-03-02T14:09:18Z</dcterms:created>
  <dcterms:modified xsi:type="dcterms:W3CDTF">2026-03-03T03:08:22Z</dcterms:modified>
</cp:coreProperties>
</file>